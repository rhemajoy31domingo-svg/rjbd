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admin\Desktop\rjbd\"/>
    </mc:Choice>
  </mc:AlternateContent>
  <xr:revisionPtr revIDLastSave="0" documentId="13_ncr:1_{9BCD1FB2-38E2-43AC-9A08-E3B680DB2ECE}" xr6:coauthVersionLast="47" xr6:coauthVersionMax="47" xr10:uidLastSave="{00000000-0000-0000-0000-000000000000}"/>
  <bookViews>
    <workbookView xWindow="-120" yWindow="-120" windowWidth="26640" windowHeight="14640" activeTab="1" xr2:uid="{00000000-000D-0000-FFFF-FFFF00000000}"/>
  </bookViews>
  <sheets>
    <sheet name="Instructions" sheetId="1" r:id="rId1"/>
    <sheet name="Dataset A - Monthly Sales" sheetId="2" r:id="rId2"/>
    <sheet name="Dataset B - Performance Scor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3" l="1"/>
  <c r="G23" i="3"/>
  <c r="G20" i="3"/>
  <c r="G19" i="3"/>
  <c r="G18" i="3"/>
  <c r="G17" i="3"/>
  <c r="G16" i="3"/>
  <c r="G15" i="3"/>
  <c r="G12" i="3"/>
  <c r="G11" i="3"/>
  <c r="G10" i="3"/>
  <c r="G7" i="3"/>
  <c r="G6" i="3"/>
  <c r="G5" i="3"/>
  <c r="F17" i="2"/>
  <c r="F16" i="2"/>
  <c r="F15" i="2"/>
  <c r="F12" i="2"/>
  <c r="F11" i="2"/>
  <c r="F10" i="2"/>
  <c r="F7" i="2"/>
  <c r="F6" i="2"/>
  <c r="F5" i="2"/>
  <c r="F18" i="2" l="1"/>
  <c r="F22" i="2" s="1"/>
  <c r="F21" i="2"/>
</calcChain>
</file>

<file path=xl/sharedStrings.xml><?xml version="1.0" encoding="utf-8"?>
<sst xmlns="http://schemas.openxmlformats.org/spreadsheetml/2006/main" count="190" uniqueCount="150">
  <si>
    <t>Day 03 — Measures of Variation Worksheet</t>
  </si>
  <si>
    <t>Data Analytics Level III | Activity 1</t>
  </si>
  <si>
    <t>INSTRUCTIONS:</t>
  </si>
  <si>
    <t>This workbook contains 2 datasets for practicing measures of variation.</t>
  </si>
  <si>
    <t>Complete ALL calculations using Excel formulas (not typed values).</t>
  </si>
  <si>
    <t>For each dataset, you must:</t>
  </si>
  <si>
    <t xml:space="preserve">  1. Calculate Mean, Median, Mode (central tendency review)</t>
  </si>
  <si>
    <t xml:space="preserve">  2. Calculate Range, Variance (sample), Standard Deviation (sample)</t>
  </si>
  <si>
    <t xml:space="preserve">  3. Calculate Q1, Q2 (Median), Q3, and IQR</t>
  </si>
  <si>
    <t xml:space="preserve">  4. Identify potential outliers using the IQR method</t>
  </si>
  <si>
    <t xml:space="preserve">  5. Run the Data Analysis ToolPak Descriptive Statistics</t>
  </si>
  <si>
    <t xml:space="preserve">  6. Create at least one chart (histogram or bar chart) to visualize the distribution</t>
  </si>
  <si>
    <t xml:space="preserve">  7. Write a 3-4 sentence interpretation</t>
  </si>
  <si>
    <t>DATASETS:</t>
  </si>
  <si>
    <t xml:space="preserve">  • Dataset A — Monthly Sales Revenue (12 months of a small PH business)</t>
  </si>
  <si>
    <t xml:space="preserve">  • Dataset B — Employee Performance Scores (30 employees)</t>
  </si>
  <si>
    <t>FORMULAS YOU'LL NEED:</t>
  </si>
  <si>
    <t xml:space="preserve">  • =AVERAGE(), =MEDIAN(), =MODE.SNGL()</t>
  </si>
  <si>
    <t xml:space="preserve">  • =MAX()-MIN() for Range</t>
  </si>
  <si>
    <t xml:space="preserve">  • =VAR.S() for Sample Variance</t>
  </si>
  <si>
    <t xml:space="preserve">  • =STDEV.S() for Sample Standard Deviation</t>
  </si>
  <si>
    <t xml:space="preserve">  • =QUARTILE.INC(range, 1), =QUARTILE.INC(range, 3) for Q1, Q3</t>
  </si>
  <si>
    <t xml:space="preserve">  • IQR = Q3 - Q1</t>
  </si>
  <si>
    <t xml:space="preserve">  • Lower Fence = Q1 - 1.5 × IQR</t>
  </si>
  <si>
    <t xml:space="preserve">  • Upper Fence = Q3 + 1.5 × IQR</t>
  </si>
  <si>
    <t>IMPORTANT: Use sample formulas (VAR.S, STDEV.S) — these are sample datasets.</t>
  </si>
  <si>
    <t>Save your file as: Day03_Activity1_[YourName].xlsx</t>
  </si>
  <si>
    <t>Upload to the LMS before the next session.</t>
  </si>
  <si>
    <t>Dataset A — Monthly Sales Revenue (Aling Nena's Sari-Sari Store, 2025)</t>
  </si>
  <si>
    <t>Month</t>
  </si>
  <si>
    <t>Month Name</t>
  </si>
  <si>
    <t>Revenue (₱)</t>
  </si>
  <si>
    <t>YOUR CALCULATIONS</t>
  </si>
  <si>
    <t>January</t>
  </si>
  <si>
    <t>Central Tendency:</t>
  </si>
  <si>
    <t>February</t>
  </si>
  <si>
    <t xml:space="preserve">  Mean:</t>
  </si>
  <si>
    <t>March</t>
  </si>
  <si>
    <t xml:space="preserve">  Median:</t>
  </si>
  <si>
    <t>April</t>
  </si>
  <si>
    <t xml:space="preserve">  Mode:</t>
  </si>
  <si>
    <t>May</t>
  </si>
  <si>
    <t>June</t>
  </si>
  <si>
    <t>Variation:</t>
  </si>
  <si>
    <t>July</t>
  </si>
  <si>
    <t xml:space="preserve">  Range:</t>
  </si>
  <si>
    <t>August</t>
  </si>
  <si>
    <t xml:space="preserve">  Variance (sample):</t>
  </si>
  <si>
    <t>September</t>
  </si>
  <si>
    <t xml:space="preserve">  Std Dev (sample):</t>
  </si>
  <si>
    <t>October</t>
  </si>
  <si>
    <t>November</t>
  </si>
  <si>
    <t>Position:</t>
  </si>
  <si>
    <t>December</t>
  </si>
  <si>
    <t xml:space="preserve">  Q1 (25th percentile):</t>
  </si>
  <si>
    <t xml:space="preserve">  Q2 (Median):</t>
  </si>
  <si>
    <t xml:space="preserve">  Q3 (75th percentile):</t>
  </si>
  <si>
    <t xml:space="preserve">  IQR:</t>
  </si>
  <si>
    <t>Outlier Detection:</t>
  </si>
  <si>
    <t xml:space="preserve">  Lower Fence:</t>
  </si>
  <si>
    <t xml:space="preserve">  Upper Fence:</t>
  </si>
  <si>
    <t xml:space="preserve">  Any outliers?</t>
  </si>
  <si>
    <t>Interpretation (3-4 sentences):</t>
  </si>
  <si>
    <t>Dataset B — Employee Performance Scores (Annual Review 2025)</t>
  </si>
  <si>
    <t>Employee ID</t>
  </si>
  <si>
    <t>Name</t>
  </si>
  <si>
    <t>Department</t>
  </si>
  <si>
    <t>Score (1-100)</t>
  </si>
  <si>
    <t>EMP-001</t>
  </si>
  <si>
    <t>Maria Santos</t>
  </si>
  <si>
    <t>Sales</t>
  </si>
  <si>
    <t>EMP-002</t>
  </si>
  <si>
    <t>Juan Dela Cruz</t>
  </si>
  <si>
    <t>EMP-003</t>
  </si>
  <si>
    <t>Ana Reyes</t>
  </si>
  <si>
    <t>Marketing</t>
  </si>
  <si>
    <t>EMP-004</t>
  </si>
  <si>
    <t>Carlos Garcia</t>
  </si>
  <si>
    <t>IT</t>
  </si>
  <si>
    <t>EMP-005</t>
  </si>
  <si>
    <t>Sofia Mendoza</t>
  </si>
  <si>
    <t>HR</t>
  </si>
  <si>
    <t>EMP-006</t>
  </si>
  <si>
    <t>Miguel Torres</t>
  </si>
  <si>
    <t>EMP-007</t>
  </si>
  <si>
    <t>Isabella Cruz</t>
  </si>
  <si>
    <t>EMP-008</t>
  </si>
  <si>
    <t>Rafael Aquino</t>
  </si>
  <si>
    <t>EMP-009</t>
  </si>
  <si>
    <t>Patricia Lim</t>
  </si>
  <si>
    <t>Finance</t>
  </si>
  <si>
    <t>EMP-010</t>
  </si>
  <si>
    <t>Daniel Tan</t>
  </si>
  <si>
    <t>EMP-011</t>
  </si>
  <si>
    <t>Angela Rivera</t>
  </si>
  <si>
    <t>Percentiles:</t>
  </si>
  <si>
    <t>EMP-012</t>
  </si>
  <si>
    <t>Roberto Flores</t>
  </si>
  <si>
    <t xml:space="preserve">  10th percentile:</t>
  </si>
  <si>
    <t>EMP-013</t>
  </si>
  <si>
    <t>Christine Go</t>
  </si>
  <si>
    <t xml:space="preserve">  25th (Q1):</t>
  </si>
  <si>
    <t>EMP-014</t>
  </si>
  <si>
    <t>Marco Villanueva</t>
  </si>
  <si>
    <t xml:space="preserve">  50th (Median):</t>
  </si>
  <si>
    <t>EMP-015</t>
  </si>
  <si>
    <t>Joy Bautista</t>
  </si>
  <si>
    <t xml:space="preserve">  75th (Q3):</t>
  </si>
  <si>
    <t>EMP-016</t>
  </si>
  <si>
    <t>Kenneth Sy</t>
  </si>
  <si>
    <t xml:space="preserve">  90th percentile:</t>
  </si>
  <si>
    <t>EMP-017</t>
  </si>
  <si>
    <t>Grace Domingo</t>
  </si>
  <si>
    <t>EMP-018</t>
  </si>
  <si>
    <t>Leo Pascual</t>
  </si>
  <si>
    <t>EMP-019</t>
  </si>
  <si>
    <t>Nicole Ramos</t>
  </si>
  <si>
    <t>EMP-020</t>
  </si>
  <si>
    <t>Patrick Ong</t>
  </si>
  <si>
    <t>EMP-021</t>
  </si>
  <si>
    <t>Carmen Lopez</t>
  </si>
  <si>
    <t>EMP-022</t>
  </si>
  <si>
    <t>Vincent Chua</t>
  </si>
  <si>
    <t>EMP-023</t>
  </si>
  <si>
    <t>Diana Navarro</t>
  </si>
  <si>
    <t>EMP-024</t>
  </si>
  <si>
    <t>Ryan Santos</t>
  </si>
  <si>
    <t>ToolPak Comparison:</t>
  </si>
  <si>
    <t>EMP-025</t>
  </si>
  <si>
    <t>Teresa Gonzales</t>
  </si>
  <si>
    <t xml:space="preserve">  Run Descriptive Statistics</t>
  </si>
  <si>
    <t>EMP-026</t>
  </si>
  <si>
    <t>Andrew Lim</t>
  </si>
  <si>
    <t xml:space="preserve">  Do values match? (Yes/No):</t>
  </si>
  <si>
    <t>EMP-027</t>
  </si>
  <si>
    <t>Michelle Tan</t>
  </si>
  <si>
    <t>EMP-028</t>
  </si>
  <si>
    <t>Joseph Cruz</t>
  </si>
  <si>
    <t>EMP-029</t>
  </si>
  <si>
    <t>Kristine Reyes</t>
  </si>
  <si>
    <t>EMP-030</t>
  </si>
  <si>
    <t>Mark Bautista</t>
  </si>
  <si>
    <t>Month of December acquiring 78,500 in revenue</t>
  </si>
  <si>
    <t xml:space="preserve">The median revenue (₱44,900) better represents the “typical” monthly revenue than the mean because the very high December revenue increases the average and may give a misleading picture of normal monthly sales. </t>
  </si>
  <si>
    <t>This suggests that while the business performs steadily during most months, there is a strong seasonal increase at the end of the year. Aling Nena should prepare more inventory and marketing promotions during peak months like December to maximize profits while maintaining stable operations during regular months.</t>
  </si>
  <si>
    <t>Most months have revenues between ₱38,500 and ₱52,800, but December stands out with a much higher revenue of ₱78,500, likely due to increased holiday spending. Based on the outlier calculation, December may be considered an outlier since it exceeds the upper fence of ₱60,562.50.</t>
  </si>
  <si>
    <t xml:space="preserve">The monthly revenue of Aling Nena’s Sari-Sari Store is not completely consistent throughout the year because there are noticeable variations in sales. </t>
  </si>
  <si>
    <t xml:space="preserve">The employee performance scores are generally consistent, with most employees scoring near the average of 81.03 and median of 82.5. </t>
  </si>
  <si>
    <t xml:space="preserve"> The standard deviation of 10.41 shows only moderate variation, meaning most employees performed within the average to high range. </t>
  </si>
  <si>
    <t>Although there are no major outliers, the score of 45 is unusually low, so HR should continue rewarding high performers while providing support and training for lower-performing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</si>
</sst>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1B3A5C"/>
      <name val="Calibri"/>
    </font>
    <font>
      <sz val="12"/>
      <color rgb="FF2E75B6"/>
      <name val="Calibri"/>
    </font>
    <font>
      <sz val="11"/>
      <name val="Calibri"/>
    </font>
    <font>
      <b/>
      <sz val="11"/>
      <name val="Calibri"/>
    </font>
    <font>
      <b/>
      <sz val="14"/>
      <color rgb="FF1B3A5C"/>
      <name val="Calibri"/>
    </font>
    <font>
      <b/>
      <sz val="11"/>
      <color rgb="FFFFFFFF"/>
      <name val="Calibri"/>
    </font>
    <font>
      <b/>
      <sz val="12"/>
      <color rgb="FF2E75B6"/>
      <name val="Calibri"/>
    </font>
    <font>
      <b/>
      <sz val="11"/>
      <color rgb="FF2E75B6"/>
      <name val="Calibri"/>
    </font>
    <font>
      <sz val="11"/>
      <color rgb="FF000000"/>
      <name val="Calibri"/>
    </font>
  </fonts>
  <fills count="5">
    <fill>
      <patternFill patternType="none"/>
    </fill>
    <fill>
      <patternFill patternType="gray125"/>
    </fill>
    <fill>
      <patternFill patternType="solid">
        <fgColor rgb="FF2E75B6"/>
      </patternFill>
    </fill>
    <fill>
      <patternFill patternType="solid">
        <fgColor rgb="FFD6E4F0"/>
      </patternFill>
    </fill>
    <fill>
      <patternFill patternType="solid">
        <fgColor rgb="FFFFFF00"/>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3" fillId="0" borderId="0" xfId="0" applyFont="1"/>
    <xf numFmtId="0" fontId="4" fillId="0" borderId="0" xfId="0" applyFont="1"/>
    <xf numFmtId="0" fontId="6" fillId="2" borderId="1" xfId="0"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8" fillId="0" borderId="0" xfId="0" applyFont="1"/>
    <xf numFmtId="0" fontId="3" fillId="3" borderId="1" xfId="0" applyFont="1" applyFill="1" applyBorder="1" applyAlignment="1">
      <alignment horizontal="center" vertical="center"/>
    </xf>
    <xf numFmtId="3" fontId="3" fillId="3" borderId="1" xfId="0" applyNumberFormat="1" applyFont="1" applyFill="1" applyBorder="1" applyAlignment="1">
      <alignment horizontal="center" vertical="center"/>
    </xf>
    <xf numFmtId="0" fontId="9" fillId="0" borderId="0" xfId="0" applyFont="1"/>
    <xf numFmtId="3" fontId="0" fillId="0" borderId="0" xfId="0" applyNumberFormat="1"/>
    <xf numFmtId="0" fontId="4" fillId="4" borderId="0" xfId="0" applyFont="1" applyFill="1"/>
    <xf numFmtId="0" fontId="3" fillId="4" borderId="0" xfId="0" applyFont="1" applyFill="1"/>
    <xf numFmtId="0" fontId="5" fillId="0" borderId="0" xfId="0" applyFont="1" applyAlignment="1"/>
    <xf numFmtId="0" fontId="0" fillId="0" borderId="0" xfId="0" applyAlignment="1"/>
    <xf numFmtId="0" fontId="0" fillId="0" borderId="0" xfId="0"/>
    <xf numFmtId="0" fontId="2" fillId="0" borderId="0" xfId="0" applyFont="1"/>
    <xf numFmtId="0" fontId="0" fillId="0" borderId="0" xfId="0"/>
    <xf numFmtId="0" fontId="1" fillId="0" borderId="0" xfId="0" applyFont="1"/>
    <xf numFmtId="0" fontId="7"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'Dataset A - Monthly Sales'!$C$3</c:f>
              <c:strCache>
                <c:ptCount val="1"/>
                <c:pt idx="0">
                  <c:v>Revenue (₱)</c:v>
                </c:pt>
              </c:strCache>
            </c:strRef>
          </c:tx>
          <c:spPr>
            <a:solidFill>
              <a:schemeClr val="accent1"/>
            </a:solidFill>
            <a:ln>
              <a:noFill/>
            </a:ln>
            <a:effectLst/>
            <a:sp3d/>
          </c:spPr>
          <c:invertIfNegative val="0"/>
          <c:cat>
            <c:strRef>
              <c:f>'Dataset A - Monthly Sales'!$B$4:$B$15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'Dataset A - Monthly Sales'!$C$4:$C$15</c:f>
              <c:numCache>
                <c:formatCode>#,##0</c:formatCode>
                <c:ptCount val="12"/>
                <c:pt idx="0">
                  <c:v>45200</c:v>
                </c:pt>
                <c:pt idx="1">
                  <c:v>38500</c:v>
                </c:pt>
                <c:pt idx="2">
                  <c:v>42100</c:v>
                </c:pt>
                <c:pt idx="3">
                  <c:v>39800</c:v>
                </c:pt>
                <c:pt idx="4">
                  <c:v>51300</c:v>
                </c:pt>
                <c:pt idx="5">
                  <c:v>48700</c:v>
                </c:pt>
                <c:pt idx="6">
                  <c:v>44600</c:v>
                </c:pt>
                <c:pt idx="7">
                  <c:v>41200</c:v>
                </c:pt>
                <c:pt idx="8">
                  <c:v>43900</c:v>
                </c:pt>
                <c:pt idx="9">
                  <c:v>46500</c:v>
                </c:pt>
                <c:pt idx="10">
                  <c:v>52800</c:v>
                </c:pt>
                <c:pt idx="11">
                  <c:v>78500</c:v>
                </c:pt>
              </c:numCache>
            </c:numRef>
          </c:val>
          <c:extLst>
            <c:ext xmlns:c16="http://schemas.microsoft.com/office/drawing/2014/chart" uri="{C3380CC4-5D6E-409C-BE32-E72D297353CC}">
              <c16:uniqueId val="{00000000-BE34-44F7-9350-1D5DF206A421}"/>
            </c:ext>
          </c:extLst>
        </c:ser>
        <c:dLbls>
          <c:showLegendKey val="0"/>
          <c:showVal val="0"/>
          <c:showCatName val="0"/>
          <c:showSerName val="0"/>
          <c:showPercent val="0"/>
          <c:showBubbleSize val="0"/>
        </c:dLbls>
        <c:gapWidth val="150"/>
        <c:shape val="box"/>
        <c:axId val="232413584"/>
        <c:axId val="232399856"/>
        <c:axId val="0"/>
      </c:bar3DChart>
      <c:catAx>
        <c:axId val="23241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99856"/>
        <c:crosses val="autoZero"/>
        <c:auto val="1"/>
        <c:lblAlgn val="ctr"/>
        <c:lblOffset val="100"/>
        <c:noMultiLvlLbl val="0"/>
      </c:catAx>
      <c:valAx>
        <c:axId val="232399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4762</xdr:colOff>
      <xdr:row>0</xdr:row>
      <xdr:rowOff>233362</xdr:rowOff>
    </xdr:from>
    <xdr:to>
      <xdr:col>14</xdr:col>
      <xdr:colOff>309562</xdr:colOff>
      <xdr:row>15</xdr:row>
      <xdr:rowOff>61912</xdr:rowOff>
    </xdr:to>
    <xdr:graphicFrame macro="">
      <xdr:nvGraphicFramePr>
        <xdr:cNvPr id="5" name="Chart 4">
          <a:extLst>
            <a:ext uri="{FF2B5EF4-FFF2-40B4-BE49-F238E27FC236}">
              <a16:creationId xmlns:a16="http://schemas.microsoft.com/office/drawing/2014/main" id="{AB541E3B-DCEA-437D-BFF4-9E0754D75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opLeftCell="A13" workbookViewId="0">
      <selection activeCell="A33" sqref="A33"/>
    </sheetView>
  </sheetViews>
  <sheetFormatPr defaultRowHeight="15" x14ac:dyDescent="0.25"/>
  <cols>
    <col min="1" max="1" width="80" customWidth="1"/>
  </cols>
  <sheetData>
    <row r="1" spans="1:6" ht="21" x14ac:dyDescent="0.35">
      <c r="A1" s="18" t="s">
        <v>0</v>
      </c>
      <c r="B1" s="17"/>
      <c r="C1" s="17"/>
      <c r="D1" s="17"/>
      <c r="E1" s="17"/>
      <c r="F1" s="17"/>
    </row>
    <row r="2" spans="1:6" ht="15.75" x14ac:dyDescent="0.25">
      <c r="A2" s="16" t="s">
        <v>1</v>
      </c>
      <c r="B2" s="17"/>
      <c r="C2" s="17"/>
      <c r="D2" s="17"/>
      <c r="E2" s="17"/>
      <c r="F2" s="17"/>
    </row>
    <row r="4" spans="1:6" x14ac:dyDescent="0.25">
      <c r="A4" s="1"/>
    </row>
    <row r="5" spans="1:6" x14ac:dyDescent="0.25">
      <c r="A5" s="2" t="s">
        <v>2</v>
      </c>
    </row>
    <row r="6" spans="1:6" x14ac:dyDescent="0.25">
      <c r="A6" s="1"/>
    </row>
    <row r="7" spans="1:6" x14ac:dyDescent="0.25">
      <c r="A7" s="1" t="s">
        <v>3</v>
      </c>
    </row>
    <row r="8" spans="1:6" x14ac:dyDescent="0.25">
      <c r="A8" s="1" t="s">
        <v>4</v>
      </c>
    </row>
    <row r="9" spans="1:6" x14ac:dyDescent="0.25">
      <c r="A9" s="1"/>
    </row>
    <row r="10" spans="1:6" x14ac:dyDescent="0.25">
      <c r="A10" s="1" t="s">
        <v>5</v>
      </c>
    </row>
    <row r="11" spans="1:6" x14ac:dyDescent="0.25">
      <c r="A11" s="12" t="s">
        <v>6</v>
      </c>
    </row>
    <row r="12" spans="1:6" x14ac:dyDescent="0.25">
      <c r="A12" s="12" t="s">
        <v>7</v>
      </c>
    </row>
    <row r="13" spans="1:6" x14ac:dyDescent="0.25">
      <c r="A13" s="12" t="s">
        <v>8</v>
      </c>
    </row>
    <row r="14" spans="1:6" x14ac:dyDescent="0.25">
      <c r="A14" s="1" t="s">
        <v>9</v>
      </c>
    </row>
    <row r="15" spans="1:6" x14ac:dyDescent="0.25">
      <c r="A15" s="1" t="s">
        <v>10</v>
      </c>
    </row>
    <row r="16" spans="1:6" x14ac:dyDescent="0.25">
      <c r="A16" s="12" t="s">
        <v>11</v>
      </c>
    </row>
    <row r="17" spans="1:1" x14ac:dyDescent="0.25">
      <c r="A17" s="12" t="s">
        <v>12</v>
      </c>
    </row>
    <row r="18" spans="1:1" x14ac:dyDescent="0.25">
      <c r="A18" s="1"/>
    </row>
    <row r="19" spans="1:1" x14ac:dyDescent="0.25">
      <c r="A19" s="2" t="s">
        <v>13</v>
      </c>
    </row>
    <row r="20" spans="1:1" x14ac:dyDescent="0.25">
      <c r="A20" s="12" t="s">
        <v>14</v>
      </c>
    </row>
    <row r="21" spans="1:1" x14ac:dyDescent="0.25">
      <c r="A21" s="12" t="s">
        <v>15</v>
      </c>
    </row>
    <row r="22" spans="1:1" x14ac:dyDescent="0.25">
      <c r="A22" s="1"/>
    </row>
    <row r="23" spans="1:1" x14ac:dyDescent="0.25">
      <c r="A23" s="11" t="s">
        <v>16</v>
      </c>
    </row>
    <row r="24" spans="1:1" x14ac:dyDescent="0.25">
      <c r="A24" s="12" t="s">
        <v>17</v>
      </c>
    </row>
    <row r="25" spans="1:1" x14ac:dyDescent="0.25">
      <c r="A25" s="12" t="s">
        <v>18</v>
      </c>
    </row>
    <row r="26" spans="1:1" x14ac:dyDescent="0.25">
      <c r="A26" s="12" t="s">
        <v>19</v>
      </c>
    </row>
    <row r="27" spans="1:1" x14ac:dyDescent="0.25">
      <c r="A27" s="12" t="s">
        <v>20</v>
      </c>
    </row>
    <row r="28" spans="1:1" x14ac:dyDescent="0.25">
      <c r="A28" s="12" t="s">
        <v>21</v>
      </c>
    </row>
    <row r="29" spans="1:1" x14ac:dyDescent="0.25">
      <c r="A29" s="12" t="s">
        <v>22</v>
      </c>
    </row>
    <row r="30" spans="1:1" x14ac:dyDescent="0.25">
      <c r="A30" s="12" t="s">
        <v>23</v>
      </c>
    </row>
    <row r="31" spans="1:1" x14ac:dyDescent="0.25">
      <c r="A31" s="12" t="s">
        <v>24</v>
      </c>
    </row>
    <row r="32" spans="1:1" x14ac:dyDescent="0.25">
      <c r="A32" s="1"/>
    </row>
    <row r="33" spans="1:1" x14ac:dyDescent="0.25">
      <c r="A33" s="2" t="s">
        <v>25</v>
      </c>
    </row>
    <row r="34" spans="1:1" x14ac:dyDescent="0.25">
      <c r="A34" s="1"/>
    </row>
    <row r="35" spans="1:1" x14ac:dyDescent="0.25">
      <c r="A35" s="2" t="s">
        <v>26</v>
      </c>
    </row>
    <row r="36" spans="1:1" x14ac:dyDescent="0.25">
      <c r="A36" s="1" t="s">
        <v>27</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tabSelected="1" zoomScale="87" zoomScaleNormal="87" workbookViewId="0">
      <selection activeCell="E29" sqref="E29"/>
    </sheetView>
  </sheetViews>
  <sheetFormatPr defaultRowHeight="15" x14ac:dyDescent="0.25"/>
  <cols>
    <col min="1" max="1" width="10" customWidth="1"/>
    <col min="2" max="2" width="14" customWidth="1"/>
    <col min="3" max="3" width="18.28515625" customWidth="1"/>
    <col min="4" max="4" width="17.140625" customWidth="1"/>
    <col min="5" max="5" width="32" customWidth="1"/>
    <col min="6" max="6" width="18" customWidth="1"/>
  </cols>
  <sheetData>
    <row r="1" spans="1:8" ht="18.75" x14ac:dyDescent="0.3">
      <c r="A1" s="13" t="s">
        <v>28</v>
      </c>
      <c r="B1" s="14"/>
      <c r="C1" s="14"/>
    </row>
    <row r="3" spans="1:8" ht="15.75" x14ac:dyDescent="0.25">
      <c r="A3" s="3" t="s">
        <v>29</v>
      </c>
      <c r="B3" s="3" t="s">
        <v>30</v>
      </c>
      <c r="C3" s="3" t="s">
        <v>31</v>
      </c>
      <c r="E3" s="19" t="s">
        <v>32</v>
      </c>
      <c r="F3" s="17"/>
      <c r="G3" s="17"/>
      <c r="H3" s="17"/>
    </row>
    <row r="4" spans="1:8" x14ac:dyDescent="0.25">
      <c r="A4" s="4">
        <v>1</v>
      </c>
      <c r="B4" s="4" t="s">
        <v>33</v>
      </c>
      <c r="C4" s="5">
        <v>45200</v>
      </c>
      <c r="E4" s="6" t="s">
        <v>34</v>
      </c>
    </row>
    <row r="5" spans="1:8" x14ac:dyDescent="0.25">
      <c r="A5" s="7">
        <v>2</v>
      </c>
      <c r="B5" s="7" t="s">
        <v>35</v>
      </c>
      <c r="C5" s="8">
        <v>38500</v>
      </c>
      <c r="E5" s="9" t="s">
        <v>36</v>
      </c>
      <c r="F5">
        <f>AVERAGE(C4:C15)</f>
        <v>47758.333333333336</v>
      </c>
    </row>
    <row r="6" spans="1:8" x14ac:dyDescent="0.25">
      <c r="A6" s="4">
        <v>3</v>
      </c>
      <c r="B6" s="4" t="s">
        <v>37</v>
      </c>
      <c r="C6" s="5">
        <v>42100</v>
      </c>
      <c r="E6" s="9" t="s">
        <v>38</v>
      </c>
      <c r="F6" s="10">
        <f>MEDIAN(C4:C15)</f>
        <v>44900</v>
      </c>
    </row>
    <row r="7" spans="1:8" x14ac:dyDescent="0.25">
      <c r="A7" s="7">
        <v>4</v>
      </c>
      <c r="B7" s="7" t="s">
        <v>39</v>
      </c>
      <c r="C7" s="8">
        <v>39800</v>
      </c>
      <c r="E7" s="9" t="s">
        <v>40</v>
      </c>
      <c r="F7" t="e">
        <f>MODE(C4:C15)</f>
        <v>#N/A</v>
      </c>
    </row>
    <row r="8" spans="1:8" x14ac:dyDescent="0.25">
      <c r="A8" s="4">
        <v>5</v>
      </c>
      <c r="B8" s="4" t="s">
        <v>41</v>
      </c>
      <c r="C8" s="5">
        <v>51300</v>
      </c>
    </row>
    <row r="9" spans="1:8" x14ac:dyDescent="0.25">
      <c r="A9" s="7">
        <v>6</v>
      </c>
      <c r="B9" s="7" t="s">
        <v>42</v>
      </c>
      <c r="C9" s="8">
        <v>48700</v>
      </c>
      <c r="E9" s="6" t="s">
        <v>43</v>
      </c>
    </row>
    <row r="10" spans="1:8" x14ac:dyDescent="0.25">
      <c r="A10" s="4">
        <v>7</v>
      </c>
      <c r="B10" s="4" t="s">
        <v>44</v>
      </c>
      <c r="C10" s="5">
        <v>44600</v>
      </c>
      <c r="E10" s="9" t="s">
        <v>45</v>
      </c>
      <c r="F10" s="10">
        <f>MAX(C4:C15)-MIN(C4:C15)</f>
        <v>40000</v>
      </c>
    </row>
    <row r="11" spans="1:8" x14ac:dyDescent="0.25">
      <c r="A11" s="7">
        <v>8</v>
      </c>
      <c r="B11" s="7" t="s">
        <v>46</v>
      </c>
      <c r="C11" s="8">
        <v>41200</v>
      </c>
      <c r="E11" s="9" t="s">
        <v>47</v>
      </c>
      <c r="F11">
        <f>_xlfn.VAR.S(C4:C15)</f>
        <v>112815378.7878789</v>
      </c>
    </row>
    <row r="12" spans="1:8" x14ac:dyDescent="0.25">
      <c r="A12" s="4">
        <v>9</v>
      </c>
      <c r="B12" s="4" t="s">
        <v>48</v>
      </c>
      <c r="C12" s="5">
        <v>43900</v>
      </c>
      <c r="E12" s="9" t="s">
        <v>49</v>
      </c>
      <c r="F12">
        <f>_xlfn.STDEV.S(C4:C15)</f>
        <v>10621.458411530824</v>
      </c>
    </row>
    <row r="13" spans="1:8" x14ac:dyDescent="0.25">
      <c r="A13" s="7">
        <v>10</v>
      </c>
      <c r="B13" s="7" t="s">
        <v>50</v>
      </c>
      <c r="C13" s="8">
        <v>46500</v>
      </c>
    </row>
    <row r="14" spans="1:8" x14ac:dyDescent="0.25">
      <c r="A14" s="4">
        <v>11</v>
      </c>
      <c r="B14" s="4" t="s">
        <v>51</v>
      </c>
      <c r="C14" s="5">
        <v>52800</v>
      </c>
      <c r="E14" s="6" t="s">
        <v>52</v>
      </c>
    </row>
    <row r="15" spans="1:8" x14ac:dyDescent="0.25">
      <c r="A15" s="7">
        <v>12</v>
      </c>
      <c r="B15" s="7" t="s">
        <v>53</v>
      </c>
      <c r="C15" s="8">
        <v>78500</v>
      </c>
      <c r="E15" s="9" t="s">
        <v>54</v>
      </c>
      <c r="F15">
        <f>_xlfn.QUARTILE.INC(C4:C15,1)</f>
        <v>41875</v>
      </c>
    </row>
    <row r="16" spans="1:8" x14ac:dyDescent="0.25">
      <c r="E16" s="9" t="s">
        <v>55</v>
      </c>
      <c r="F16">
        <f>_xlfn.QUARTILE.INC(C4:C15, 2)</f>
        <v>44900</v>
      </c>
    </row>
    <row r="17" spans="5:6" x14ac:dyDescent="0.25">
      <c r="E17" s="9" t="s">
        <v>56</v>
      </c>
      <c r="F17">
        <f>_xlfn.QUARTILE.INC(C4:C15,3)</f>
        <v>49350</v>
      </c>
    </row>
    <row r="18" spans="5:6" x14ac:dyDescent="0.25">
      <c r="E18" s="9" t="s">
        <v>57</v>
      </c>
      <c r="F18">
        <f>F17 - F15</f>
        <v>7475</v>
      </c>
    </row>
    <row r="20" spans="5:6" x14ac:dyDescent="0.25">
      <c r="E20" s="6" t="s">
        <v>58</v>
      </c>
    </row>
    <row r="21" spans="5:6" x14ac:dyDescent="0.25">
      <c r="E21" s="9" t="s">
        <v>59</v>
      </c>
      <c r="F21">
        <f xml:space="preserve">  F15  - 1.5 * F18</f>
        <v>30662.5</v>
      </c>
    </row>
    <row r="22" spans="5:6" x14ac:dyDescent="0.25">
      <c r="E22" s="9" t="s">
        <v>60</v>
      </c>
      <c r="F22">
        <f>F17 + 1.5 * F18</f>
        <v>60562.5</v>
      </c>
    </row>
    <row r="23" spans="5:6" x14ac:dyDescent="0.25">
      <c r="E23" s="9" t="s">
        <v>61</v>
      </c>
      <c r="F23" t="s">
        <v>142</v>
      </c>
    </row>
    <row r="25" spans="5:6" x14ac:dyDescent="0.25">
      <c r="E25" s="6" t="s">
        <v>62</v>
      </c>
    </row>
    <row r="26" spans="5:6" x14ac:dyDescent="0.25">
      <c r="E26" t="s">
        <v>146</v>
      </c>
    </row>
    <row r="27" spans="5:6" x14ac:dyDescent="0.25">
      <c r="E27" s="15" t="s">
        <v>145</v>
      </c>
    </row>
    <row r="28" spans="5:6" x14ac:dyDescent="0.25">
      <c r="E28" t="s">
        <v>143</v>
      </c>
    </row>
    <row r="29" spans="5:6" x14ac:dyDescent="0.25">
      <c r="E29" s="15" t="s">
        <v>144</v>
      </c>
    </row>
  </sheetData>
  <mergeCells count="1">
    <mergeCell ref="E3:H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zoomScale="84" zoomScaleNormal="84" workbookViewId="0">
      <selection activeCell="F32" sqref="F32"/>
    </sheetView>
  </sheetViews>
  <sheetFormatPr defaultRowHeight="15" x14ac:dyDescent="0.25"/>
  <cols>
    <col min="1" max="1" width="12" customWidth="1"/>
    <col min="2" max="2" width="22" customWidth="1"/>
    <col min="3" max="3" width="14" customWidth="1"/>
    <col min="4" max="4" width="16" customWidth="1"/>
    <col min="6" max="6" width="32" customWidth="1"/>
    <col min="7" max="7" width="18" customWidth="1"/>
  </cols>
  <sheetData>
    <row r="1" spans="1:9" ht="18.75" x14ac:dyDescent="0.3">
      <c r="A1" s="20" t="s">
        <v>63</v>
      </c>
      <c r="B1" s="17"/>
      <c r="C1" s="17"/>
      <c r="D1" s="17"/>
    </row>
    <row r="3" spans="1:9" ht="15.75" x14ac:dyDescent="0.25">
      <c r="A3" s="3" t="s">
        <v>64</v>
      </c>
      <c r="B3" s="3" t="s">
        <v>65</v>
      </c>
      <c r="C3" s="3" t="s">
        <v>66</v>
      </c>
      <c r="D3" s="3" t="s">
        <v>67</v>
      </c>
      <c r="F3" s="19" t="s">
        <v>32</v>
      </c>
      <c r="G3" s="17"/>
      <c r="H3" s="17"/>
      <c r="I3" s="17"/>
    </row>
    <row r="4" spans="1:9" x14ac:dyDescent="0.25">
      <c r="A4" s="4" t="s">
        <v>68</v>
      </c>
      <c r="B4" s="4" t="s">
        <v>69</v>
      </c>
      <c r="C4" s="4" t="s">
        <v>70</v>
      </c>
      <c r="D4" s="4">
        <v>82</v>
      </c>
      <c r="F4" s="6" t="s">
        <v>34</v>
      </c>
    </row>
    <row r="5" spans="1:9" x14ac:dyDescent="0.25">
      <c r="A5" s="7" t="s">
        <v>71</v>
      </c>
      <c r="B5" s="7" t="s">
        <v>72</v>
      </c>
      <c r="C5" s="7" t="s">
        <v>70</v>
      </c>
      <c r="D5" s="7">
        <v>91</v>
      </c>
      <c r="F5" s="9" t="s">
        <v>36</v>
      </c>
      <c r="G5">
        <f>AVERAGE(D4:D33)</f>
        <v>81.033333333333331</v>
      </c>
    </row>
    <row r="6" spans="1:9" x14ac:dyDescent="0.25">
      <c r="A6" s="4" t="s">
        <v>73</v>
      </c>
      <c r="B6" s="4" t="s">
        <v>74</v>
      </c>
      <c r="C6" s="4" t="s">
        <v>75</v>
      </c>
      <c r="D6" s="4">
        <v>75</v>
      </c>
      <c r="F6" s="9" t="s">
        <v>38</v>
      </c>
      <c r="G6">
        <f>MEDIAN(D4:D33)</f>
        <v>82.5</v>
      </c>
    </row>
    <row r="7" spans="1:9" x14ac:dyDescent="0.25">
      <c r="A7" s="7" t="s">
        <v>76</v>
      </c>
      <c r="B7" s="7" t="s">
        <v>77</v>
      </c>
      <c r="C7" s="7" t="s">
        <v>78</v>
      </c>
      <c r="D7" s="7">
        <v>88</v>
      </c>
      <c r="F7" s="9" t="s">
        <v>40</v>
      </c>
      <c r="G7">
        <f>MODE(D4:D33)</f>
        <v>88</v>
      </c>
    </row>
    <row r="8" spans="1:9" x14ac:dyDescent="0.25">
      <c r="A8" s="4" t="s">
        <v>79</v>
      </c>
      <c r="B8" s="4" t="s">
        <v>80</v>
      </c>
      <c r="C8" s="4" t="s">
        <v>81</v>
      </c>
      <c r="D8" s="4">
        <v>79</v>
      </c>
    </row>
    <row r="9" spans="1:9" x14ac:dyDescent="0.25">
      <c r="A9" s="7" t="s">
        <v>82</v>
      </c>
      <c r="B9" s="7" t="s">
        <v>83</v>
      </c>
      <c r="C9" s="7" t="s">
        <v>70</v>
      </c>
      <c r="D9" s="7">
        <v>85</v>
      </c>
      <c r="F9" s="6" t="s">
        <v>43</v>
      </c>
    </row>
    <row r="10" spans="1:9" x14ac:dyDescent="0.25">
      <c r="A10" s="4" t="s">
        <v>84</v>
      </c>
      <c r="B10" s="4" t="s">
        <v>85</v>
      </c>
      <c r="C10" s="4" t="s">
        <v>75</v>
      </c>
      <c r="D10" s="4">
        <v>72</v>
      </c>
      <c r="F10" s="9" t="s">
        <v>45</v>
      </c>
      <c r="G10">
        <f>MAX(D4:D33) - MIN(D4:D33)</f>
        <v>50</v>
      </c>
    </row>
    <row r="11" spans="1:9" x14ac:dyDescent="0.25">
      <c r="A11" s="7" t="s">
        <v>86</v>
      </c>
      <c r="B11" s="7" t="s">
        <v>87</v>
      </c>
      <c r="C11" s="7" t="s">
        <v>78</v>
      </c>
      <c r="D11" s="7">
        <v>93</v>
      </c>
      <c r="F11" s="9" t="s">
        <v>47</v>
      </c>
      <c r="G11">
        <f>_xlfn.VAR.S(D4:D33)</f>
        <v>108.30919540229912</v>
      </c>
    </row>
    <row r="12" spans="1:9" x14ac:dyDescent="0.25">
      <c r="A12" s="4" t="s">
        <v>88</v>
      </c>
      <c r="B12" s="4" t="s">
        <v>89</v>
      </c>
      <c r="C12" s="4" t="s">
        <v>90</v>
      </c>
      <c r="D12" s="4">
        <v>68</v>
      </c>
      <c r="F12" s="9" t="s">
        <v>49</v>
      </c>
      <c r="G12">
        <f>_xlfn.STDEV.S(D4:D33)</f>
        <v>10.407170384033266</v>
      </c>
    </row>
    <row r="13" spans="1:9" x14ac:dyDescent="0.25">
      <c r="A13" s="7" t="s">
        <v>91</v>
      </c>
      <c r="B13" s="7" t="s">
        <v>92</v>
      </c>
      <c r="C13" s="7" t="s">
        <v>70</v>
      </c>
      <c r="D13" s="7">
        <v>87</v>
      </c>
    </row>
    <row r="14" spans="1:9" x14ac:dyDescent="0.25">
      <c r="A14" s="4" t="s">
        <v>93</v>
      </c>
      <c r="B14" s="4" t="s">
        <v>94</v>
      </c>
      <c r="C14" s="4" t="s">
        <v>81</v>
      </c>
      <c r="D14" s="4">
        <v>81</v>
      </c>
      <c r="F14" s="6" t="s">
        <v>95</v>
      </c>
    </row>
    <row r="15" spans="1:9" x14ac:dyDescent="0.25">
      <c r="A15" s="7" t="s">
        <v>96</v>
      </c>
      <c r="B15" s="7" t="s">
        <v>97</v>
      </c>
      <c r="C15" s="7" t="s">
        <v>78</v>
      </c>
      <c r="D15" s="7">
        <v>95</v>
      </c>
      <c r="F15" s="9" t="s">
        <v>98</v>
      </c>
      <c r="G15">
        <f>_xlfn.PERCENTILE.INC(D4:D33, 0.1)</f>
        <v>70.7</v>
      </c>
    </row>
    <row r="16" spans="1:9" x14ac:dyDescent="0.25">
      <c r="A16" s="4" t="s">
        <v>99</v>
      </c>
      <c r="B16" s="4" t="s">
        <v>100</v>
      </c>
      <c r="C16" s="4" t="s">
        <v>75</v>
      </c>
      <c r="D16" s="4">
        <v>77</v>
      </c>
      <c r="F16" s="9" t="s">
        <v>101</v>
      </c>
      <c r="G16">
        <f>_xlfn.QUARTILE.INC(D4:D33, 1)</f>
        <v>76.25</v>
      </c>
    </row>
    <row r="17" spans="1:7" x14ac:dyDescent="0.25">
      <c r="A17" s="7" t="s">
        <v>102</v>
      </c>
      <c r="B17" s="7" t="s">
        <v>103</v>
      </c>
      <c r="C17" s="7" t="s">
        <v>90</v>
      </c>
      <c r="D17" s="7">
        <v>84</v>
      </c>
      <c r="F17" s="9" t="s">
        <v>104</v>
      </c>
      <c r="G17">
        <f>_xlfn.QUARTILE.INC(D4:D33, 2)</f>
        <v>82.5</v>
      </c>
    </row>
    <row r="18" spans="1:7" x14ac:dyDescent="0.25">
      <c r="A18" s="4" t="s">
        <v>105</v>
      </c>
      <c r="B18" s="4" t="s">
        <v>106</v>
      </c>
      <c r="C18" s="4" t="s">
        <v>70</v>
      </c>
      <c r="D18" s="4">
        <v>90</v>
      </c>
      <c r="F18" s="9" t="s">
        <v>107</v>
      </c>
      <c r="G18">
        <f>_xlfn.QUARTILE.INC(D4:D33, 3)</f>
        <v>88</v>
      </c>
    </row>
    <row r="19" spans="1:7" x14ac:dyDescent="0.25">
      <c r="A19" s="7" t="s">
        <v>108</v>
      </c>
      <c r="B19" s="7" t="s">
        <v>109</v>
      </c>
      <c r="C19" s="7" t="s">
        <v>78</v>
      </c>
      <c r="D19" s="7">
        <v>86</v>
      </c>
      <c r="F19" s="9" t="s">
        <v>110</v>
      </c>
      <c r="G19">
        <f>_xlfn.PERCENTILE.INC(D4:D33, 0.9)</f>
        <v>92.1</v>
      </c>
    </row>
    <row r="20" spans="1:7" x14ac:dyDescent="0.25">
      <c r="A20" s="4" t="s">
        <v>111</v>
      </c>
      <c r="B20" s="4" t="s">
        <v>112</v>
      </c>
      <c r="C20" s="4" t="s">
        <v>81</v>
      </c>
      <c r="D20" s="4">
        <v>73</v>
      </c>
      <c r="F20" s="9" t="s">
        <v>57</v>
      </c>
      <c r="G20">
        <f xml:space="preserve"> G18 - G16</f>
        <v>11.75</v>
      </c>
    </row>
    <row r="21" spans="1:7" x14ac:dyDescent="0.25">
      <c r="A21" s="7" t="s">
        <v>113</v>
      </c>
      <c r="B21" s="7" t="s">
        <v>114</v>
      </c>
      <c r="C21" s="7" t="s">
        <v>90</v>
      </c>
      <c r="D21" s="7">
        <v>80</v>
      </c>
    </row>
    <row r="22" spans="1:7" x14ac:dyDescent="0.25">
      <c r="A22" s="4" t="s">
        <v>115</v>
      </c>
      <c r="B22" s="4" t="s">
        <v>116</v>
      </c>
      <c r="C22" s="4" t="s">
        <v>75</v>
      </c>
      <c r="D22" s="4">
        <v>78</v>
      </c>
      <c r="F22" s="6" t="s">
        <v>58</v>
      </c>
    </row>
    <row r="23" spans="1:7" x14ac:dyDescent="0.25">
      <c r="A23" s="7" t="s">
        <v>117</v>
      </c>
      <c r="B23" s="7" t="s">
        <v>118</v>
      </c>
      <c r="C23" s="7" t="s">
        <v>70</v>
      </c>
      <c r="D23" s="7">
        <v>92</v>
      </c>
      <c r="F23" s="9" t="s">
        <v>59</v>
      </c>
      <c r="G23">
        <f xml:space="preserve"> G16 - 1.5 *G20</f>
        <v>58.625</v>
      </c>
    </row>
    <row r="24" spans="1:7" x14ac:dyDescent="0.25">
      <c r="A24" s="4" t="s">
        <v>119</v>
      </c>
      <c r="B24" s="4" t="s">
        <v>120</v>
      </c>
      <c r="C24" s="4" t="s">
        <v>78</v>
      </c>
      <c r="D24" s="4">
        <v>89</v>
      </c>
      <c r="F24" s="9" t="s">
        <v>60</v>
      </c>
      <c r="G24">
        <f>G18 + 1.5 * G20</f>
        <v>105.625</v>
      </c>
    </row>
    <row r="25" spans="1:7" x14ac:dyDescent="0.25">
      <c r="A25" s="7" t="s">
        <v>121</v>
      </c>
      <c r="B25" s="7" t="s">
        <v>122</v>
      </c>
      <c r="C25" s="7" t="s">
        <v>90</v>
      </c>
      <c r="D25" s="7">
        <v>65</v>
      </c>
      <c r="F25" s="9" t="s">
        <v>61</v>
      </c>
    </row>
    <row r="26" spans="1:7" x14ac:dyDescent="0.25">
      <c r="A26" s="4" t="s">
        <v>123</v>
      </c>
      <c r="B26" s="4" t="s">
        <v>124</v>
      </c>
      <c r="C26" s="4" t="s">
        <v>81</v>
      </c>
      <c r="D26" s="4">
        <v>83</v>
      </c>
    </row>
    <row r="27" spans="1:7" x14ac:dyDescent="0.25">
      <c r="A27" s="7" t="s">
        <v>125</v>
      </c>
      <c r="B27" s="7" t="s">
        <v>126</v>
      </c>
      <c r="C27" s="7" t="s">
        <v>75</v>
      </c>
      <c r="D27" s="7">
        <v>76</v>
      </c>
      <c r="F27" s="6" t="s">
        <v>127</v>
      </c>
    </row>
    <row r="28" spans="1:7" x14ac:dyDescent="0.25">
      <c r="A28" s="4" t="s">
        <v>128</v>
      </c>
      <c r="B28" s="4" t="s">
        <v>129</v>
      </c>
      <c r="C28" s="4" t="s">
        <v>70</v>
      </c>
      <c r="D28" s="4">
        <v>88</v>
      </c>
      <c r="F28" s="9" t="s">
        <v>130</v>
      </c>
    </row>
    <row r="29" spans="1:7" x14ac:dyDescent="0.25">
      <c r="A29" s="7" t="s">
        <v>131</v>
      </c>
      <c r="B29" s="7" t="s">
        <v>132</v>
      </c>
      <c r="C29" s="7" t="s">
        <v>78</v>
      </c>
      <c r="D29" s="7">
        <v>94</v>
      </c>
      <c r="F29" s="9" t="s">
        <v>133</v>
      </c>
    </row>
    <row r="30" spans="1:7" x14ac:dyDescent="0.25">
      <c r="A30" s="4" t="s">
        <v>134</v>
      </c>
      <c r="B30" s="4" t="s">
        <v>135</v>
      </c>
      <c r="C30" s="4" t="s">
        <v>90</v>
      </c>
      <c r="D30" s="4">
        <v>71</v>
      </c>
    </row>
    <row r="31" spans="1:7" x14ac:dyDescent="0.25">
      <c r="A31" s="7" t="s">
        <v>136</v>
      </c>
      <c r="B31" s="7" t="s">
        <v>137</v>
      </c>
      <c r="C31" s="7" t="s">
        <v>81</v>
      </c>
      <c r="D31" s="7">
        <v>85</v>
      </c>
      <c r="F31" s="6" t="s">
        <v>62</v>
      </c>
    </row>
    <row r="32" spans="1:7" x14ac:dyDescent="0.25">
      <c r="A32" s="4" t="s">
        <v>138</v>
      </c>
      <c r="B32" s="4" t="s">
        <v>139</v>
      </c>
      <c r="C32" s="4" t="s">
        <v>75</v>
      </c>
      <c r="D32" s="4">
        <v>79</v>
      </c>
      <c r="F32" t="s">
        <v>147</v>
      </c>
    </row>
    <row r="33" spans="1:6" x14ac:dyDescent="0.25">
      <c r="A33" s="7" t="s">
        <v>140</v>
      </c>
      <c r="B33" s="7" t="s">
        <v>141</v>
      </c>
      <c r="C33" s="7" t="s">
        <v>70</v>
      </c>
      <c r="D33" s="7">
        <v>45</v>
      </c>
      <c r="F33" s="15" t="s">
        <v>148</v>
      </c>
    </row>
    <row r="34" spans="1:6" x14ac:dyDescent="0.25">
      <c r="F34" s="15" t="s">
        <v>149</v>
      </c>
    </row>
    <row r="35" spans="1:6" x14ac:dyDescent="0.25">
      <c r="F35" s="15"/>
    </row>
    <row r="36" spans="1:6" x14ac:dyDescent="0.25">
      <c r="F36" s="15"/>
    </row>
  </sheetData>
  <mergeCells count="2">
    <mergeCell ref="A1:D1"/>
    <mergeCell ref="F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Dataset A - Monthly Sales</vt:lpstr>
      <vt:lpstr>Dataset B - Performance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2026-04-11T13:52:38Z</dcterms:created>
  <dcterms:modified xsi:type="dcterms:W3CDTF">2026-05-21T04:48:25Z</dcterms:modified>
</cp:coreProperties>
</file>
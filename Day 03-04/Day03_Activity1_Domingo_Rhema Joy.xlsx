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admin\Desktop\rjbd\"/>
    </mc:Choice>
  </mc:AlternateContent>
  <xr:revisionPtr revIDLastSave="0" documentId="8_{6770490F-ED49-4D2C-83E3-F3E2AB26940A}" xr6:coauthVersionLast="47" xr6:coauthVersionMax="47" xr10:uidLastSave="{00000000-0000-0000-0000-000000000000}"/>
  <bookViews>
    <workbookView xWindow="-120" yWindow="-120" windowWidth="26640" windowHeight="14640" xr2:uid="{00000000-000D-0000-FFFF-FFFF00000000}"/>
  </bookViews>
  <sheets>
    <sheet name="Instructions" sheetId="1" r:id="rId1"/>
    <sheet name="Dataset A - Monthly Sales" sheetId="2" r:id="rId2"/>
    <sheet name="Dataset B - Performance Scor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4" i="3" l="1"/>
  <c r="G23" i="3"/>
  <c r="G20" i="3"/>
  <c r="G19" i="3"/>
  <c r="G18" i="3"/>
  <c r="G17" i="3"/>
  <c r="G16" i="3"/>
  <c r="G15" i="3"/>
  <c r="G12" i="3"/>
  <c r="G11" i="3"/>
  <c r="G10" i="3"/>
  <c r="G7" i="3"/>
  <c r="G6" i="3"/>
  <c r="G5" i="3"/>
  <c r="F17" i="2"/>
  <c r="F16" i="2"/>
  <c r="F15" i="2"/>
  <c r="F12" i="2"/>
  <c r="F11" i="2"/>
  <c r="F10" i="2"/>
  <c r="F7" i="2"/>
  <c r="F6" i="2"/>
  <c r="F5" i="2"/>
  <c r="F18" i="2" l="1"/>
  <c r="F22" i="2" s="1"/>
  <c r="F21" i="2"/>
</calcChain>
</file>

<file path=xl/sharedStrings.xml><?xml version="1.0" encoding="utf-8"?>
<sst xmlns="http://schemas.openxmlformats.org/spreadsheetml/2006/main" count="190" uniqueCount="150">
  <si>
    <t>Day 03 — Measures of Variation Worksheet</t>
  </si>
  <si>
    <t>Data Analytics Level III | Activity 1</t>
  </si>
  <si>
    <t>INSTRUCTIONS:</t>
  </si>
  <si>
    <t>This workbook contains 2 datasets for practicing measures of variation.</t>
  </si>
  <si>
    <t>Complete ALL calculations using Excel formulas (not typed values).</t>
  </si>
  <si>
    <t>For each dataset, you must:</t>
  </si>
  <si>
    <t xml:space="preserve">  1. Calculate Mean, Median, Mode (central tendency review)</t>
  </si>
  <si>
    <t xml:space="preserve">  2. Calculate Range, Variance (sample), Standard Deviation (sample)</t>
  </si>
  <si>
    <t xml:space="preserve">  3. Calculate Q1, Q2 (Median), Q3, and IQR</t>
  </si>
  <si>
    <t xml:space="preserve">  4. Identify potential outliers using the IQR method</t>
  </si>
  <si>
    <t xml:space="preserve">  5. Run the Data Analysis ToolPak Descriptive Statistics</t>
  </si>
  <si>
    <t xml:space="preserve">  6. Create at least one chart (histogram or bar chart) to visualize the distribution</t>
  </si>
  <si>
    <t xml:space="preserve">  7. Write a 3-4 sentence interpretation</t>
  </si>
  <si>
    <t>DATASETS:</t>
  </si>
  <si>
    <t xml:space="preserve">  • Dataset A — Monthly Sales Revenue (12 months of a small PH business)</t>
  </si>
  <si>
    <t xml:space="preserve">  • Dataset B — Employee Performance Scores (30 employees)</t>
  </si>
  <si>
    <t>FORMULAS YOU'LL NEED:</t>
  </si>
  <si>
    <t xml:space="preserve">  • =AVERAGE(), =MEDIAN(), =MODE.SNGL()</t>
  </si>
  <si>
    <t xml:space="preserve">  • =MAX()-MIN() for Range</t>
  </si>
  <si>
    <t xml:space="preserve">  • =VAR.S() for Sample Variance</t>
  </si>
  <si>
    <t xml:space="preserve">  • =STDEV.S() for Sample Standard Deviation</t>
  </si>
  <si>
    <t xml:space="preserve">  • =QUARTILE.INC(range, 1), =QUARTILE.INC(range, 3) for Q1, Q3</t>
  </si>
  <si>
    <t xml:space="preserve">  • IQR = Q3 - Q1</t>
  </si>
  <si>
    <t xml:space="preserve">  • Lower Fence = Q1 - 1.5 × IQR</t>
  </si>
  <si>
    <t xml:space="preserve">  • Upper Fence = Q3 + 1.5 × IQR</t>
  </si>
  <si>
    <t>IMPORTANT: Use sample formulas (VAR.S, STDEV.S) — these are sample datasets.</t>
  </si>
  <si>
    <t>Save your file as: Day03_Activity1_[YourName].xlsx</t>
  </si>
  <si>
    <t>Upload to the LMS before the next session.</t>
  </si>
  <si>
    <t>Dataset A — Monthly Sales Revenue (Aling Nena's Sari-Sari Store, 2025)</t>
  </si>
  <si>
    <t>Month</t>
  </si>
  <si>
    <t>Month Name</t>
  </si>
  <si>
    <t>Revenue (₱)</t>
  </si>
  <si>
    <t>YOUR CALCULATIONS</t>
  </si>
  <si>
    <t>January</t>
  </si>
  <si>
    <t>Central Tendency:</t>
  </si>
  <si>
    <t>February</t>
  </si>
  <si>
    <t xml:space="preserve">  Mean:</t>
  </si>
  <si>
    <t>March</t>
  </si>
  <si>
    <t xml:space="preserve">  Median:</t>
  </si>
  <si>
    <t>April</t>
  </si>
  <si>
    <t xml:space="preserve">  Mode:</t>
  </si>
  <si>
    <t>May</t>
  </si>
  <si>
    <t>June</t>
  </si>
  <si>
    <t>Variation:</t>
  </si>
  <si>
    <t>July</t>
  </si>
  <si>
    <t xml:space="preserve">  Range:</t>
  </si>
  <si>
    <t>August</t>
  </si>
  <si>
    <t xml:space="preserve">  Variance (sample):</t>
  </si>
  <si>
    <t>September</t>
  </si>
  <si>
    <t xml:space="preserve">  Std Dev (sample):</t>
  </si>
  <si>
    <t>October</t>
  </si>
  <si>
    <t>November</t>
  </si>
  <si>
    <t>Position:</t>
  </si>
  <si>
    <t>December</t>
  </si>
  <si>
    <t xml:space="preserve">  Q1 (25th percentile):</t>
  </si>
  <si>
    <t xml:space="preserve">  Q2 (Median):</t>
  </si>
  <si>
    <t xml:space="preserve">  Q3 (75th percentile):</t>
  </si>
  <si>
    <t xml:space="preserve">  IQR:</t>
  </si>
  <si>
    <t>Outlier Detection:</t>
  </si>
  <si>
    <t xml:space="preserve">  Lower Fence:</t>
  </si>
  <si>
    <t xml:space="preserve">  Upper Fence:</t>
  </si>
  <si>
    <t xml:space="preserve">  Any outliers?</t>
  </si>
  <si>
    <t>Interpretation (3-4 sentences):</t>
  </si>
  <si>
    <t>Dataset B — Employee Performance Scores (Annual Review 2025)</t>
  </si>
  <si>
    <t>Employee ID</t>
  </si>
  <si>
    <t>Name</t>
  </si>
  <si>
    <t>Department</t>
  </si>
  <si>
    <t>Score (1-100)</t>
  </si>
  <si>
    <t>EMP-001</t>
  </si>
  <si>
    <t>Maria Santos</t>
  </si>
  <si>
    <t>Sales</t>
  </si>
  <si>
    <t>EMP-002</t>
  </si>
  <si>
    <t>Juan Dela Cruz</t>
  </si>
  <si>
    <t>EMP-003</t>
  </si>
  <si>
    <t>Ana Reyes</t>
  </si>
  <si>
    <t>Marketing</t>
  </si>
  <si>
    <t>EMP-004</t>
  </si>
  <si>
    <t>Carlos Garcia</t>
  </si>
  <si>
    <t>IT</t>
  </si>
  <si>
    <t>EMP-005</t>
  </si>
  <si>
    <t>Sofia Mendoza</t>
  </si>
  <si>
    <t>HR</t>
  </si>
  <si>
    <t>EMP-006</t>
  </si>
  <si>
    <t>Miguel Torres</t>
  </si>
  <si>
    <t>EMP-007</t>
  </si>
  <si>
    <t>Isabella Cruz</t>
  </si>
  <si>
    <t>EMP-008</t>
  </si>
  <si>
    <t>Rafael Aquino</t>
  </si>
  <si>
    <t>EMP-009</t>
  </si>
  <si>
    <t>Patricia Lim</t>
  </si>
  <si>
    <t>Finance</t>
  </si>
  <si>
    <t>EMP-010</t>
  </si>
  <si>
    <t>Daniel Tan</t>
  </si>
  <si>
    <t>EMP-011</t>
  </si>
  <si>
    <t>Angela Rivera</t>
  </si>
  <si>
    <t>Percentiles:</t>
  </si>
  <si>
    <t>EMP-012</t>
  </si>
  <si>
    <t>Roberto Flores</t>
  </si>
  <si>
    <t xml:space="preserve">  10th percentile:</t>
  </si>
  <si>
    <t>EMP-013</t>
  </si>
  <si>
    <t>Christine Go</t>
  </si>
  <si>
    <t xml:space="preserve">  25th (Q1):</t>
  </si>
  <si>
    <t>EMP-014</t>
  </si>
  <si>
    <t>Marco Villanueva</t>
  </si>
  <si>
    <t xml:space="preserve">  50th (Median):</t>
  </si>
  <si>
    <t>EMP-015</t>
  </si>
  <si>
    <t>Joy Bautista</t>
  </si>
  <si>
    <t xml:space="preserve">  75th (Q3):</t>
  </si>
  <si>
    <t>EMP-016</t>
  </si>
  <si>
    <t>Kenneth Sy</t>
  </si>
  <si>
    <t xml:space="preserve">  90th percentile:</t>
  </si>
  <si>
    <t>EMP-017</t>
  </si>
  <si>
    <t>Grace Domingo</t>
  </si>
  <si>
    <t>EMP-018</t>
  </si>
  <si>
    <t>Leo Pascual</t>
  </si>
  <si>
    <t>EMP-019</t>
  </si>
  <si>
    <t>Nicole Ramos</t>
  </si>
  <si>
    <t>EMP-020</t>
  </si>
  <si>
    <t>Patrick Ong</t>
  </si>
  <si>
    <t>EMP-021</t>
  </si>
  <si>
    <t>Carmen Lopez</t>
  </si>
  <si>
    <t>EMP-022</t>
  </si>
  <si>
    <t>Vincent Chua</t>
  </si>
  <si>
    <t>EMP-023</t>
  </si>
  <si>
    <t>Diana Navarro</t>
  </si>
  <si>
    <t>EMP-024</t>
  </si>
  <si>
    <t>Ryan Santos</t>
  </si>
  <si>
    <t>ToolPak Comparison:</t>
  </si>
  <si>
    <t>EMP-025</t>
  </si>
  <si>
    <t>Teresa Gonzales</t>
  </si>
  <si>
    <t xml:space="preserve">  Run Descriptive Statistics</t>
  </si>
  <si>
    <t>EMP-026</t>
  </si>
  <si>
    <t>Andrew Lim</t>
  </si>
  <si>
    <t xml:space="preserve">  Do values match? (Yes/No):</t>
  </si>
  <si>
    <t>EMP-027</t>
  </si>
  <si>
    <t>Michelle Tan</t>
  </si>
  <si>
    <t>EMP-028</t>
  </si>
  <si>
    <t>Joseph Cruz</t>
  </si>
  <si>
    <t>EMP-029</t>
  </si>
  <si>
    <t>Kristine Reyes</t>
  </si>
  <si>
    <t>EMP-030</t>
  </si>
  <si>
    <t>Mark Bautista</t>
  </si>
  <si>
    <t>Month of December acquiring 78,500 in revenue</t>
  </si>
  <si>
    <t xml:space="preserve">The median revenue (₱44,900) better represents the “typical” monthly revenue than the mean because the very high December revenue increases the average and may give a misleading picture of normal monthly sales. </t>
  </si>
  <si>
    <t>This suggests that while the business performs steadily during most months, there is a strong seasonal increase at the end of the year. Aling Nena should prepare more inventory and marketing promotions during peak months like December to maximize profits while maintaining stable operations during regular months.</t>
  </si>
  <si>
    <t>Most months have revenues between ₱38,500 and ₱52,800, but December stands out with a much higher revenue of ₱78,500, likely due to increased holiday spending. Based on the outlier calculation, December may be considered an outlier since it exceeds the upper fence of ₱60,562.50.</t>
  </si>
  <si>
    <t xml:space="preserve">The monthly revenue of Aling Nena’s Sari-Sari Store is not completely consistent throughout the year because there are noticeable variations in sales. </t>
  </si>
  <si>
    <t xml:space="preserve">The employee performance scores are generally consistent, with most employees scoring near the average of 81.03 and median of 82.5. </t>
  </si>
  <si>
    <t xml:space="preserve"> The standard deviation of 10.41 shows only moderate variation, meaning most employees performed within the average to high range. </t>
  </si>
  <si>
    <t>Although there are no major outliers, the score of 45 is unusually low, so HR should continue rewarding high performers while providing support and training for lower-performing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</si>
</sst>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6"/>
      <color rgb="FF1B3A5C"/>
      <name val="Calibri"/>
    </font>
    <font>
      <sz val="12"/>
      <color rgb="FF2E75B6"/>
      <name val="Calibri"/>
    </font>
    <font>
      <sz val="11"/>
      <name val="Calibri"/>
    </font>
    <font>
      <b/>
      <sz val="11"/>
      <name val="Calibri"/>
    </font>
    <font>
      <b/>
      <sz val="14"/>
      <color rgb="FF1B3A5C"/>
      <name val="Calibri"/>
    </font>
    <font>
      <b/>
      <sz val="11"/>
      <color rgb="FFFFFFFF"/>
      <name val="Calibri"/>
    </font>
    <font>
      <b/>
      <sz val="12"/>
      <color rgb="FF2E75B6"/>
      <name val="Calibri"/>
    </font>
    <font>
      <b/>
      <sz val="11"/>
      <color rgb="FF2E75B6"/>
      <name val="Calibri"/>
    </font>
    <font>
      <sz val="11"/>
      <color rgb="FF000000"/>
      <name val="Calibri"/>
    </font>
  </fonts>
  <fills count="5">
    <fill>
      <patternFill patternType="none"/>
    </fill>
    <fill>
      <patternFill patternType="gray125"/>
    </fill>
    <fill>
      <patternFill patternType="solid">
        <fgColor rgb="FF2E75B6"/>
      </patternFill>
    </fill>
    <fill>
      <patternFill patternType="solid">
        <fgColor rgb="FFD6E4F0"/>
      </patternFill>
    </fill>
    <fill>
      <patternFill patternType="solid">
        <fgColor rgb="FFFFFF00"/>
        <bgColor indexed="64"/>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1">
    <xf numFmtId="0" fontId="0" fillId="0" borderId="0" xfId="0"/>
    <xf numFmtId="0" fontId="3" fillId="0" borderId="0" xfId="0" applyFont="1"/>
    <xf numFmtId="0" fontId="4" fillId="0" borderId="0" xfId="0" applyFont="1"/>
    <xf numFmtId="0" fontId="6" fillId="2" borderId="1" xfId="0" applyFont="1" applyFill="1" applyBorder="1" applyAlignment="1">
      <alignment horizontal="center" vertical="center"/>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0" fontId="8" fillId="0" borderId="0" xfId="0" applyFont="1"/>
    <xf numFmtId="0" fontId="3" fillId="3" borderId="1" xfId="0" applyFont="1" applyFill="1" applyBorder="1" applyAlignment="1">
      <alignment horizontal="center" vertical="center"/>
    </xf>
    <xf numFmtId="3" fontId="3" fillId="3" borderId="1" xfId="0" applyNumberFormat="1" applyFont="1" applyFill="1" applyBorder="1" applyAlignment="1">
      <alignment horizontal="center" vertical="center"/>
    </xf>
    <xf numFmtId="0" fontId="9" fillId="0" borderId="0" xfId="0" applyFont="1"/>
    <xf numFmtId="3" fontId="0" fillId="0" borderId="0" xfId="0" applyNumberFormat="1"/>
    <xf numFmtId="0" fontId="4" fillId="4" borderId="0" xfId="0" applyFont="1" applyFill="1"/>
    <xf numFmtId="0" fontId="3" fillId="4" borderId="0" xfId="0" applyFont="1" applyFill="1"/>
    <xf numFmtId="0" fontId="5" fillId="0" borderId="0" xfId="0" applyFont="1" applyAlignment="1"/>
    <xf numFmtId="0" fontId="0" fillId="0" borderId="0" xfId="0" applyAlignment="1"/>
    <xf numFmtId="0" fontId="0" fillId="0" borderId="0" xfId="0"/>
    <xf numFmtId="0" fontId="2" fillId="0" borderId="0" xfId="0" applyFont="1"/>
    <xf numFmtId="0" fontId="0" fillId="0" borderId="0" xfId="0"/>
    <xf numFmtId="0" fontId="1" fillId="0" borderId="0" xfId="0" applyFont="1"/>
    <xf numFmtId="0" fontId="7" fillId="0" borderId="0" xfId="0" applyFon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'Dataset A - Monthly Sales'!$C$3</c:f>
              <c:strCache>
                <c:ptCount val="1"/>
                <c:pt idx="0">
                  <c:v>Revenue (₱)</c:v>
                </c:pt>
              </c:strCache>
            </c:strRef>
          </c:tx>
          <c:spPr>
            <a:solidFill>
              <a:schemeClr val="accent1"/>
            </a:solidFill>
            <a:ln>
              <a:noFill/>
            </a:ln>
            <a:effectLst/>
            <a:sp3d/>
          </c:spPr>
          <c:invertIfNegative val="0"/>
          <c:cat>
            <c:strRef>
              <c:f>'Dataset A - Monthly Sales'!$B$4:$B$15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'Dataset A - Monthly Sales'!$C$4:$C$15</c:f>
              <c:numCache>
                <c:formatCode>#,##0</c:formatCode>
                <c:ptCount val="12"/>
                <c:pt idx="0">
                  <c:v>45200</c:v>
                </c:pt>
                <c:pt idx="1">
                  <c:v>38500</c:v>
                </c:pt>
                <c:pt idx="2">
                  <c:v>42100</c:v>
                </c:pt>
                <c:pt idx="3">
                  <c:v>39800</c:v>
                </c:pt>
                <c:pt idx="4">
                  <c:v>51300</c:v>
                </c:pt>
                <c:pt idx="5">
                  <c:v>48700</c:v>
                </c:pt>
                <c:pt idx="6">
                  <c:v>44600</c:v>
                </c:pt>
                <c:pt idx="7">
                  <c:v>41200</c:v>
                </c:pt>
                <c:pt idx="8">
                  <c:v>43900</c:v>
                </c:pt>
                <c:pt idx="9">
                  <c:v>46500</c:v>
                </c:pt>
                <c:pt idx="10">
                  <c:v>52800</c:v>
                </c:pt>
                <c:pt idx="11">
                  <c:v>78500</c:v>
                </c:pt>
              </c:numCache>
            </c:numRef>
          </c:val>
          <c:extLst>
            <c:ext xmlns:c16="http://schemas.microsoft.com/office/drawing/2014/chart" uri="{C3380CC4-5D6E-409C-BE32-E72D297353CC}">
              <c16:uniqueId val="{00000000-BE34-44F7-9350-1D5DF206A421}"/>
            </c:ext>
          </c:extLst>
        </c:ser>
        <c:dLbls>
          <c:showLegendKey val="0"/>
          <c:showVal val="0"/>
          <c:showCatName val="0"/>
          <c:showSerName val="0"/>
          <c:showPercent val="0"/>
          <c:showBubbleSize val="0"/>
        </c:dLbls>
        <c:gapWidth val="150"/>
        <c:shape val="box"/>
        <c:axId val="232413584"/>
        <c:axId val="232399856"/>
        <c:axId val="0"/>
      </c:bar3DChart>
      <c:catAx>
        <c:axId val="232413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399856"/>
        <c:crosses val="autoZero"/>
        <c:auto val="1"/>
        <c:lblAlgn val="ctr"/>
        <c:lblOffset val="100"/>
        <c:noMultiLvlLbl val="0"/>
      </c:catAx>
      <c:valAx>
        <c:axId val="232399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41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4762</xdr:colOff>
      <xdr:row>0</xdr:row>
      <xdr:rowOff>233362</xdr:rowOff>
    </xdr:from>
    <xdr:to>
      <xdr:col>14</xdr:col>
      <xdr:colOff>309562</xdr:colOff>
      <xdr:row>15</xdr:row>
      <xdr:rowOff>61912</xdr:rowOff>
    </xdr:to>
    <xdr:graphicFrame macro="">
      <xdr:nvGraphicFramePr>
        <xdr:cNvPr id="5" name="Chart 4">
          <a:extLst>
            <a:ext uri="{FF2B5EF4-FFF2-40B4-BE49-F238E27FC236}">
              <a16:creationId xmlns:a16="http://schemas.microsoft.com/office/drawing/2014/main" id="{AB541E3B-DCEA-437D-BFF4-9E0754D75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tabSelected="1" topLeftCell="A13" workbookViewId="0">
      <selection activeCell="A35" sqref="A35"/>
    </sheetView>
  </sheetViews>
  <sheetFormatPr defaultRowHeight="15"/>
  <cols>
    <col min="1" max="1" width="80" customWidth="1"/>
  </cols>
  <sheetData>
    <row r="1" spans="1:6" ht="21">
      <c r="A1" s="18" t="s">
        <v>0</v>
      </c>
      <c r="B1" s="17"/>
      <c r="C1" s="17"/>
      <c r="D1" s="17"/>
      <c r="E1" s="17"/>
      <c r="F1" s="17"/>
    </row>
    <row r="2" spans="1:6" ht="15.75">
      <c r="A2" s="16" t="s">
        <v>1</v>
      </c>
      <c r="B2" s="17"/>
      <c r="C2" s="17"/>
      <c r="D2" s="17"/>
      <c r="E2" s="17"/>
      <c r="F2" s="17"/>
    </row>
    <row r="4" spans="1:6">
      <c r="A4" s="1"/>
    </row>
    <row r="5" spans="1:6">
      <c r="A5" s="2" t="s">
        <v>2</v>
      </c>
    </row>
    <row r="6" spans="1:6">
      <c r="A6" s="1"/>
    </row>
    <row r="7" spans="1:6">
      <c r="A7" s="1" t="s">
        <v>3</v>
      </c>
    </row>
    <row r="8" spans="1:6">
      <c r="A8" s="1" t="s">
        <v>4</v>
      </c>
    </row>
    <row r="9" spans="1:6">
      <c r="A9" s="1"/>
    </row>
    <row r="10" spans="1:6">
      <c r="A10" s="1" t="s">
        <v>5</v>
      </c>
    </row>
    <row r="11" spans="1:6">
      <c r="A11" s="12" t="s">
        <v>6</v>
      </c>
    </row>
    <row r="12" spans="1:6">
      <c r="A12" s="12" t="s">
        <v>7</v>
      </c>
    </row>
    <row r="13" spans="1:6">
      <c r="A13" s="12" t="s">
        <v>8</v>
      </c>
    </row>
    <row r="14" spans="1:6">
      <c r="A14" s="1" t="s">
        <v>9</v>
      </c>
    </row>
    <row r="15" spans="1:6">
      <c r="A15" s="1" t="s">
        <v>10</v>
      </c>
    </row>
    <row r="16" spans="1:6">
      <c r="A16" s="12" t="s">
        <v>11</v>
      </c>
    </row>
    <row r="17" spans="1:1">
      <c r="A17" s="12" t="s">
        <v>12</v>
      </c>
    </row>
    <row r="18" spans="1:1">
      <c r="A18" s="1"/>
    </row>
    <row r="19" spans="1:1">
      <c r="A19" s="2" t="s">
        <v>13</v>
      </c>
    </row>
    <row r="20" spans="1:1">
      <c r="A20" s="12" t="s">
        <v>14</v>
      </c>
    </row>
    <row r="21" spans="1:1">
      <c r="A21" s="12" t="s">
        <v>15</v>
      </c>
    </row>
    <row r="22" spans="1:1">
      <c r="A22" s="1"/>
    </row>
    <row r="23" spans="1:1">
      <c r="A23" s="11" t="s">
        <v>16</v>
      </c>
    </row>
    <row r="24" spans="1:1">
      <c r="A24" s="12" t="s">
        <v>17</v>
      </c>
    </row>
    <row r="25" spans="1:1">
      <c r="A25" s="12" t="s">
        <v>18</v>
      </c>
    </row>
    <row r="26" spans="1:1">
      <c r="A26" s="12" t="s">
        <v>19</v>
      </c>
    </row>
    <row r="27" spans="1:1">
      <c r="A27" s="12" t="s">
        <v>20</v>
      </c>
    </row>
    <row r="28" spans="1:1">
      <c r="A28" s="12" t="s">
        <v>21</v>
      </c>
    </row>
    <row r="29" spans="1:1">
      <c r="A29" s="12" t="s">
        <v>22</v>
      </c>
    </row>
    <row r="30" spans="1:1">
      <c r="A30" s="12" t="s">
        <v>23</v>
      </c>
    </row>
    <row r="31" spans="1:1">
      <c r="A31" s="12" t="s">
        <v>24</v>
      </c>
    </row>
    <row r="32" spans="1:1">
      <c r="A32" s="1"/>
    </row>
    <row r="33" spans="1:1">
      <c r="A33" s="2" t="s">
        <v>25</v>
      </c>
    </row>
    <row r="34" spans="1:1">
      <c r="A34" s="1"/>
    </row>
    <row r="35" spans="1:1">
      <c r="A35" s="2" t="s">
        <v>26</v>
      </c>
    </row>
    <row r="36" spans="1:1">
      <c r="A36" s="1" t="s">
        <v>27</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zoomScale="87" zoomScaleNormal="87" workbookViewId="0">
      <selection activeCell="E29" sqref="E29"/>
    </sheetView>
  </sheetViews>
  <sheetFormatPr defaultRowHeight="15"/>
  <cols>
    <col min="1" max="1" width="10" customWidth="1"/>
    <col min="2" max="2" width="14" customWidth="1"/>
    <col min="3" max="3" width="18.28515625" customWidth="1"/>
    <col min="4" max="4" width="17.140625" customWidth="1"/>
    <col min="5" max="5" width="32" customWidth="1"/>
    <col min="6" max="6" width="18" customWidth="1"/>
  </cols>
  <sheetData>
    <row r="1" spans="1:8" ht="18.75">
      <c r="A1" s="13" t="s">
        <v>28</v>
      </c>
      <c r="B1" s="14"/>
      <c r="C1" s="14"/>
    </row>
    <row r="3" spans="1:8" ht="15.75">
      <c r="A3" s="3" t="s">
        <v>29</v>
      </c>
      <c r="B3" s="3" t="s">
        <v>30</v>
      </c>
      <c r="C3" s="3" t="s">
        <v>31</v>
      </c>
      <c r="E3" s="19" t="s">
        <v>32</v>
      </c>
      <c r="F3" s="17"/>
      <c r="G3" s="17"/>
      <c r="H3" s="17"/>
    </row>
    <row r="4" spans="1:8">
      <c r="A4" s="4">
        <v>1</v>
      </c>
      <c r="B4" s="4" t="s">
        <v>33</v>
      </c>
      <c r="C4" s="5">
        <v>45200</v>
      </c>
      <c r="E4" s="6" t="s">
        <v>34</v>
      </c>
    </row>
    <row r="5" spans="1:8">
      <c r="A5" s="7">
        <v>2</v>
      </c>
      <c r="B5" s="7" t="s">
        <v>35</v>
      </c>
      <c r="C5" s="8">
        <v>38500</v>
      </c>
      <c r="E5" s="9" t="s">
        <v>36</v>
      </c>
      <c r="F5">
        <f>AVERAGE(C4:C15)</f>
        <v>47758.333333333336</v>
      </c>
    </row>
    <row r="6" spans="1:8">
      <c r="A6" s="4">
        <v>3</v>
      </c>
      <c r="B6" s="4" t="s">
        <v>37</v>
      </c>
      <c r="C6" s="5">
        <v>42100</v>
      </c>
      <c r="E6" s="9" t="s">
        <v>38</v>
      </c>
      <c r="F6" s="10">
        <f>MEDIAN(C4:C15)</f>
        <v>44900</v>
      </c>
    </row>
    <row r="7" spans="1:8">
      <c r="A7" s="7">
        <v>4</v>
      </c>
      <c r="B7" s="7" t="s">
        <v>39</v>
      </c>
      <c r="C7" s="8">
        <v>39800</v>
      </c>
      <c r="E7" s="9" t="s">
        <v>40</v>
      </c>
      <c r="F7" t="e">
        <f>MODE(C4:C15)</f>
        <v>#N/A</v>
      </c>
    </row>
    <row r="8" spans="1:8">
      <c r="A8" s="4">
        <v>5</v>
      </c>
      <c r="B8" s="4" t="s">
        <v>41</v>
      </c>
      <c r="C8" s="5">
        <v>51300</v>
      </c>
    </row>
    <row r="9" spans="1:8">
      <c r="A9" s="7">
        <v>6</v>
      </c>
      <c r="B9" s="7" t="s">
        <v>42</v>
      </c>
      <c r="C9" s="8">
        <v>48700</v>
      </c>
      <c r="E9" s="6" t="s">
        <v>43</v>
      </c>
    </row>
    <row r="10" spans="1:8">
      <c r="A10" s="4">
        <v>7</v>
      </c>
      <c r="B10" s="4" t="s">
        <v>44</v>
      </c>
      <c r="C10" s="5">
        <v>44600</v>
      </c>
      <c r="E10" s="9" t="s">
        <v>45</v>
      </c>
      <c r="F10" s="10">
        <f>MAX(C4:C15)-MIN(C4:C15)</f>
        <v>40000</v>
      </c>
    </row>
    <row r="11" spans="1:8">
      <c r="A11" s="7">
        <v>8</v>
      </c>
      <c r="B11" s="7" t="s">
        <v>46</v>
      </c>
      <c r="C11" s="8">
        <v>41200</v>
      </c>
      <c r="E11" s="9" t="s">
        <v>47</v>
      </c>
      <c r="F11">
        <f>_xlfn.VAR.S(C4:C15)</f>
        <v>112815378.7878789</v>
      </c>
    </row>
    <row r="12" spans="1:8">
      <c r="A12" s="4">
        <v>9</v>
      </c>
      <c r="B12" s="4" t="s">
        <v>48</v>
      </c>
      <c r="C12" s="5">
        <v>43900</v>
      </c>
      <c r="E12" s="9" t="s">
        <v>49</v>
      </c>
      <c r="F12">
        <f>_xlfn.STDEV.S(C4:C15)</f>
        <v>10621.458411530824</v>
      </c>
    </row>
    <row r="13" spans="1:8">
      <c r="A13" s="7">
        <v>10</v>
      </c>
      <c r="B13" s="7" t="s">
        <v>50</v>
      </c>
      <c r="C13" s="8">
        <v>46500</v>
      </c>
    </row>
    <row r="14" spans="1:8">
      <c r="A14" s="4">
        <v>11</v>
      </c>
      <c r="B14" s="4" t="s">
        <v>51</v>
      </c>
      <c r="C14" s="5">
        <v>52800</v>
      </c>
      <c r="E14" s="6" t="s">
        <v>52</v>
      </c>
    </row>
    <row r="15" spans="1:8">
      <c r="A15" s="7">
        <v>12</v>
      </c>
      <c r="B15" s="7" t="s">
        <v>53</v>
      </c>
      <c r="C15" s="8">
        <v>78500</v>
      </c>
      <c r="E15" s="9" t="s">
        <v>54</v>
      </c>
      <c r="F15">
        <f>_xlfn.QUARTILE.INC(C4:C15,1)</f>
        <v>41875</v>
      </c>
    </row>
    <row r="16" spans="1:8">
      <c r="E16" s="9" t="s">
        <v>55</v>
      </c>
      <c r="F16">
        <f>_xlfn.QUARTILE.INC(C4:C15, 2)</f>
        <v>44900</v>
      </c>
    </row>
    <row r="17" spans="5:6">
      <c r="E17" s="9" t="s">
        <v>56</v>
      </c>
      <c r="F17">
        <f>_xlfn.QUARTILE.INC(C4:C15,3)</f>
        <v>49350</v>
      </c>
    </row>
    <row r="18" spans="5:6">
      <c r="E18" s="9" t="s">
        <v>57</v>
      </c>
      <c r="F18">
        <f>F17 - F15</f>
        <v>7475</v>
      </c>
    </row>
    <row r="20" spans="5:6">
      <c r="E20" s="6" t="s">
        <v>58</v>
      </c>
    </row>
    <row r="21" spans="5:6">
      <c r="E21" s="9" t="s">
        <v>59</v>
      </c>
      <c r="F21">
        <f xml:space="preserve">  F15  - 1.5 * F18</f>
        <v>30662.5</v>
      </c>
    </row>
    <row r="22" spans="5:6">
      <c r="E22" s="9" t="s">
        <v>60</v>
      </c>
      <c r="F22">
        <f>F17 + 1.5 * F18</f>
        <v>60562.5</v>
      </c>
    </row>
    <row r="23" spans="5:6">
      <c r="E23" s="9" t="s">
        <v>61</v>
      </c>
      <c r="F23" t="s">
        <v>142</v>
      </c>
    </row>
    <row r="25" spans="5:6">
      <c r="E25" s="6" t="s">
        <v>62</v>
      </c>
    </row>
    <row r="26" spans="5:6">
      <c r="E26" t="s">
        <v>146</v>
      </c>
    </row>
    <row r="27" spans="5:6">
      <c r="E27" s="15" t="s">
        <v>145</v>
      </c>
    </row>
    <row r="28" spans="5:6">
      <c r="E28" t="s">
        <v>143</v>
      </c>
    </row>
    <row r="29" spans="5:6">
      <c r="E29" s="15" t="s">
        <v>144</v>
      </c>
    </row>
  </sheetData>
  <mergeCells count="1">
    <mergeCell ref="E3:H3"/>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6"/>
  <sheetViews>
    <sheetView zoomScale="84" zoomScaleNormal="84" workbookViewId="0">
      <selection activeCell="F32" sqref="F32"/>
    </sheetView>
  </sheetViews>
  <sheetFormatPr defaultRowHeight="15"/>
  <cols>
    <col min="1" max="1" width="12" customWidth="1"/>
    <col min="2" max="2" width="22" customWidth="1"/>
    <col min="3" max="3" width="14" customWidth="1"/>
    <col min="4" max="4" width="16" customWidth="1"/>
    <col min="6" max="6" width="32" customWidth="1"/>
    <col min="7" max="7" width="18" customWidth="1"/>
  </cols>
  <sheetData>
    <row r="1" spans="1:9" ht="18.75">
      <c r="A1" s="20" t="s">
        <v>63</v>
      </c>
      <c r="B1" s="17"/>
      <c r="C1" s="17"/>
      <c r="D1" s="17"/>
    </row>
    <row r="3" spans="1:9" ht="15.75">
      <c r="A3" s="3" t="s">
        <v>64</v>
      </c>
      <c r="B3" s="3" t="s">
        <v>65</v>
      </c>
      <c r="C3" s="3" t="s">
        <v>66</v>
      </c>
      <c r="D3" s="3" t="s">
        <v>67</v>
      </c>
      <c r="F3" s="19" t="s">
        <v>32</v>
      </c>
      <c r="G3" s="17"/>
      <c r="H3" s="17"/>
      <c r="I3" s="17"/>
    </row>
    <row r="4" spans="1:9">
      <c r="A4" s="4" t="s">
        <v>68</v>
      </c>
      <c r="B4" s="4" t="s">
        <v>69</v>
      </c>
      <c r="C4" s="4" t="s">
        <v>70</v>
      </c>
      <c r="D4" s="4">
        <v>82</v>
      </c>
      <c r="F4" s="6" t="s">
        <v>34</v>
      </c>
    </row>
    <row r="5" spans="1:9">
      <c r="A5" s="7" t="s">
        <v>71</v>
      </c>
      <c r="B5" s="7" t="s">
        <v>72</v>
      </c>
      <c r="C5" s="7" t="s">
        <v>70</v>
      </c>
      <c r="D5" s="7">
        <v>91</v>
      </c>
      <c r="F5" s="9" t="s">
        <v>36</v>
      </c>
      <c r="G5">
        <f>AVERAGE(D4:D33)</f>
        <v>81.033333333333331</v>
      </c>
    </row>
    <row r="6" spans="1:9">
      <c r="A6" s="4" t="s">
        <v>73</v>
      </c>
      <c r="B6" s="4" t="s">
        <v>74</v>
      </c>
      <c r="C6" s="4" t="s">
        <v>75</v>
      </c>
      <c r="D6" s="4">
        <v>75</v>
      </c>
      <c r="F6" s="9" t="s">
        <v>38</v>
      </c>
      <c r="G6">
        <f>MEDIAN(D4:D33)</f>
        <v>82.5</v>
      </c>
    </row>
    <row r="7" spans="1:9">
      <c r="A7" s="7" t="s">
        <v>76</v>
      </c>
      <c r="B7" s="7" t="s">
        <v>77</v>
      </c>
      <c r="C7" s="7" t="s">
        <v>78</v>
      </c>
      <c r="D7" s="7">
        <v>88</v>
      </c>
      <c r="F7" s="9" t="s">
        <v>40</v>
      </c>
      <c r="G7">
        <f>MODE(D4:D33)</f>
        <v>88</v>
      </c>
    </row>
    <row r="8" spans="1:9">
      <c r="A8" s="4" t="s">
        <v>79</v>
      </c>
      <c r="B8" s="4" t="s">
        <v>80</v>
      </c>
      <c r="C8" s="4" t="s">
        <v>81</v>
      </c>
      <c r="D8" s="4">
        <v>79</v>
      </c>
    </row>
    <row r="9" spans="1:9">
      <c r="A9" s="7" t="s">
        <v>82</v>
      </c>
      <c r="B9" s="7" t="s">
        <v>83</v>
      </c>
      <c r="C9" s="7" t="s">
        <v>70</v>
      </c>
      <c r="D9" s="7">
        <v>85</v>
      </c>
      <c r="F9" s="6" t="s">
        <v>43</v>
      </c>
    </row>
    <row r="10" spans="1:9">
      <c r="A10" s="4" t="s">
        <v>84</v>
      </c>
      <c r="B10" s="4" t="s">
        <v>85</v>
      </c>
      <c r="C10" s="4" t="s">
        <v>75</v>
      </c>
      <c r="D10" s="4">
        <v>72</v>
      </c>
      <c r="F10" s="9" t="s">
        <v>45</v>
      </c>
      <c r="G10">
        <f>MAX(D4:D33) - MIN(D4:D33)</f>
        <v>50</v>
      </c>
    </row>
    <row r="11" spans="1:9">
      <c r="A11" s="7" t="s">
        <v>86</v>
      </c>
      <c r="B11" s="7" t="s">
        <v>87</v>
      </c>
      <c r="C11" s="7" t="s">
        <v>78</v>
      </c>
      <c r="D11" s="7">
        <v>93</v>
      </c>
      <c r="F11" s="9" t="s">
        <v>47</v>
      </c>
      <c r="G11">
        <f>_xlfn.VAR.S(D4:D33)</f>
        <v>108.30919540229912</v>
      </c>
    </row>
    <row r="12" spans="1:9">
      <c r="A12" s="4" t="s">
        <v>88</v>
      </c>
      <c r="B12" s="4" t="s">
        <v>89</v>
      </c>
      <c r="C12" s="4" t="s">
        <v>90</v>
      </c>
      <c r="D12" s="4">
        <v>68</v>
      </c>
      <c r="F12" s="9" t="s">
        <v>49</v>
      </c>
      <c r="G12">
        <f>_xlfn.STDEV.S(D4:D33)</f>
        <v>10.407170384033266</v>
      </c>
    </row>
    <row r="13" spans="1:9">
      <c r="A13" s="7" t="s">
        <v>91</v>
      </c>
      <c r="B13" s="7" t="s">
        <v>92</v>
      </c>
      <c r="C13" s="7" t="s">
        <v>70</v>
      </c>
      <c r="D13" s="7">
        <v>87</v>
      </c>
    </row>
    <row r="14" spans="1:9">
      <c r="A14" s="4" t="s">
        <v>93</v>
      </c>
      <c r="B14" s="4" t="s">
        <v>94</v>
      </c>
      <c r="C14" s="4" t="s">
        <v>81</v>
      </c>
      <c r="D14" s="4">
        <v>81</v>
      </c>
      <c r="F14" s="6" t="s">
        <v>95</v>
      </c>
    </row>
    <row r="15" spans="1:9">
      <c r="A15" s="7" t="s">
        <v>96</v>
      </c>
      <c r="B15" s="7" t="s">
        <v>97</v>
      </c>
      <c r="C15" s="7" t="s">
        <v>78</v>
      </c>
      <c r="D15" s="7">
        <v>95</v>
      </c>
      <c r="F15" s="9" t="s">
        <v>98</v>
      </c>
      <c r="G15">
        <f>_xlfn.PERCENTILE.INC(D4:D33, 0.1)</f>
        <v>70.7</v>
      </c>
    </row>
    <row r="16" spans="1:9">
      <c r="A16" s="4" t="s">
        <v>99</v>
      </c>
      <c r="B16" s="4" t="s">
        <v>100</v>
      </c>
      <c r="C16" s="4" t="s">
        <v>75</v>
      </c>
      <c r="D16" s="4">
        <v>77</v>
      </c>
      <c r="F16" s="9" t="s">
        <v>101</v>
      </c>
      <c r="G16">
        <f>_xlfn.QUARTILE.INC(D4:D33, 1)</f>
        <v>76.25</v>
      </c>
    </row>
    <row r="17" spans="1:7">
      <c r="A17" s="7" t="s">
        <v>102</v>
      </c>
      <c r="B17" s="7" t="s">
        <v>103</v>
      </c>
      <c r="C17" s="7" t="s">
        <v>90</v>
      </c>
      <c r="D17" s="7">
        <v>84</v>
      </c>
      <c r="F17" s="9" t="s">
        <v>104</v>
      </c>
      <c r="G17">
        <f>_xlfn.QUARTILE.INC(D4:D33, 2)</f>
        <v>82.5</v>
      </c>
    </row>
    <row r="18" spans="1:7">
      <c r="A18" s="4" t="s">
        <v>105</v>
      </c>
      <c r="B18" s="4" t="s">
        <v>106</v>
      </c>
      <c r="C18" s="4" t="s">
        <v>70</v>
      </c>
      <c r="D18" s="4">
        <v>90</v>
      </c>
      <c r="F18" s="9" t="s">
        <v>107</v>
      </c>
      <c r="G18">
        <f>_xlfn.QUARTILE.INC(D4:D33, 3)</f>
        <v>88</v>
      </c>
    </row>
    <row r="19" spans="1:7">
      <c r="A19" s="7" t="s">
        <v>108</v>
      </c>
      <c r="B19" s="7" t="s">
        <v>109</v>
      </c>
      <c r="C19" s="7" t="s">
        <v>78</v>
      </c>
      <c r="D19" s="7">
        <v>86</v>
      </c>
      <c r="F19" s="9" t="s">
        <v>110</v>
      </c>
      <c r="G19">
        <f>_xlfn.PERCENTILE.INC(D4:D33, 0.9)</f>
        <v>92.1</v>
      </c>
    </row>
    <row r="20" spans="1:7">
      <c r="A20" s="4" t="s">
        <v>111</v>
      </c>
      <c r="B20" s="4" t="s">
        <v>112</v>
      </c>
      <c r="C20" s="4" t="s">
        <v>81</v>
      </c>
      <c r="D20" s="4">
        <v>73</v>
      </c>
      <c r="F20" s="9" t="s">
        <v>57</v>
      </c>
      <c r="G20">
        <f xml:space="preserve"> G18 - G16</f>
        <v>11.75</v>
      </c>
    </row>
    <row r="21" spans="1:7">
      <c r="A21" s="7" t="s">
        <v>113</v>
      </c>
      <c r="B21" s="7" t="s">
        <v>114</v>
      </c>
      <c r="C21" s="7" t="s">
        <v>90</v>
      </c>
      <c r="D21" s="7">
        <v>80</v>
      </c>
    </row>
    <row r="22" spans="1:7">
      <c r="A22" s="4" t="s">
        <v>115</v>
      </c>
      <c r="B22" s="4" t="s">
        <v>116</v>
      </c>
      <c r="C22" s="4" t="s">
        <v>75</v>
      </c>
      <c r="D22" s="4">
        <v>78</v>
      </c>
      <c r="F22" s="6" t="s">
        <v>58</v>
      </c>
    </row>
    <row r="23" spans="1:7">
      <c r="A23" s="7" t="s">
        <v>117</v>
      </c>
      <c r="B23" s="7" t="s">
        <v>118</v>
      </c>
      <c r="C23" s="7" t="s">
        <v>70</v>
      </c>
      <c r="D23" s="7">
        <v>92</v>
      </c>
      <c r="F23" s="9" t="s">
        <v>59</v>
      </c>
      <c r="G23">
        <f xml:space="preserve"> G16 - 1.5 *G20</f>
        <v>58.625</v>
      </c>
    </row>
    <row r="24" spans="1:7">
      <c r="A24" s="4" t="s">
        <v>119</v>
      </c>
      <c r="B24" s="4" t="s">
        <v>120</v>
      </c>
      <c r="C24" s="4" t="s">
        <v>78</v>
      </c>
      <c r="D24" s="4">
        <v>89</v>
      </c>
      <c r="F24" s="9" t="s">
        <v>60</v>
      </c>
      <c r="G24">
        <f>G18 + 1.5 * G20</f>
        <v>105.625</v>
      </c>
    </row>
    <row r="25" spans="1:7">
      <c r="A25" s="7" t="s">
        <v>121</v>
      </c>
      <c r="B25" s="7" t="s">
        <v>122</v>
      </c>
      <c r="C25" s="7" t="s">
        <v>90</v>
      </c>
      <c r="D25" s="7">
        <v>65</v>
      </c>
      <c r="F25" s="9" t="s">
        <v>61</v>
      </c>
    </row>
    <row r="26" spans="1:7">
      <c r="A26" s="4" t="s">
        <v>123</v>
      </c>
      <c r="B26" s="4" t="s">
        <v>124</v>
      </c>
      <c r="C26" s="4" t="s">
        <v>81</v>
      </c>
      <c r="D26" s="4">
        <v>83</v>
      </c>
    </row>
    <row r="27" spans="1:7">
      <c r="A27" s="7" t="s">
        <v>125</v>
      </c>
      <c r="B27" s="7" t="s">
        <v>126</v>
      </c>
      <c r="C27" s="7" t="s">
        <v>75</v>
      </c>
      <c r="D27" s="7">
        <v>76</v>
      </c>
      <c r="F27" s="6" t="s">
        <v>127</v>
      </c>
    </row>
    <row r="28" spans="1:7">
      <c r="A28" s="4" t="s">
        <v>128</v>
      </c>
      <c r="B28" s="4" t="s">
        <v>129</v>
      </c>
      <c r="C28" s="4" t="s">
        <v>70</v>
      </c>
      <c r="D28" s="4">
        <v>88</v>
      </c>
      <c r="F28" s="9" t="s">
        <v>130</v>
      </c>
    </row>
    <row r="29" spans="1:7">
      <c r="A29" s="7" t="s">
        <v>131</v>
      </c>
      <c r="B29" s="7" t="s">
        <v>132</v>
      </c>
      <c r="C29" s="7" t="s">
        <v>78</v>
      </c>
      <c r="D29" s="7">
        <v>94</v>
      </c>
      <c r="F29" s="9" t="s">
        <v>133</v>
      </c>
    </row>
    <row r="30" spans="1:7">
      <c r="A30" s="4" t="s">
        <v>134</v>
      </c>
      <c r="B30" s="4" t="s">
        <v>135</v>
      </c>
      <c r="C30" s="4" t="s">
        <v>90</v>
      </c>
      <c r="D30" s="4">
        <v>71</v>
      </c>
    </row>
    <row r="31" spans="1:7">
      <c r="A31" s="7" t="s">
        <v>136</v>
      </c>
      <c r="B31" s="7" t="s">
        <v>137</v>
      </c>
      <c r="C31" s="7" t="s">
        <v>81</v>
      </c>
      <c r="D31" s="7">
        <v>85</v>
      </c>
      <c r="F31" s="6" t="s">
        <v>62</v>
      </c>
    </row>
    <row r="32" spans="1:7">
      <c r="A32" s="4" t="s">
        <v>138</v>
      </c>
      <c r="B32" s="4" t="s">
        <v>139</v>
      </c>
      <c r="C32" s="4" t="s">
        <v>75</v>
      </c>
      <c r="D32" s="4">
        <v>79</v>
      </c>
      <c r="F32" t="s">
        <v>147</v>
      </c>
    </row>
    <row r="33" spans="1:6">
      <c r="A33" s="7" t="s">
        <v>140</v>
      </c>
      <c r="B33" s="7" t="s">
        <v>141</v>
      </c>
      <c r="C33" s="7" t="s">
        <v>70</v>
      </c>
      <c r="D33" s="7">
        <v>45</v>
      </c>
      <c r="F33" s="15" t="s">
        <v>148</v>
      </c>
    </row>
    <row r="34" spans="1:6">
      <c r="F34" s="15" t="s">
        <v>149</v>
      </c>
    </row>
    <row r="35" spans="1:6">
      <c r="F35" s="15"/>
    </row>
    <row r="36" spans="1:6">
      <c r="F36" s="15"/>
    </row>
  </sheetData>
  <mergeCells count="2">
    <mergeCell ref="A1:D1"/>
    <mergeCell ref="F3:I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Dataset A - Monthly Sales</vt:lpstr>
      <vt:lpstr>Dataset B - Performance Scores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2026-04-11T13:52:38Z</dcterms:created>
  <dcterms:modified xsi:type="dcterms:W3CDTF">2026-05-21T04:49:13Z</dcterms:modified>
</cp:coreProperties>
</file>